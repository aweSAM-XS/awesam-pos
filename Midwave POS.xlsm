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A8CD6305-93E2-415C-AE33-1F5D170DD1B7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Admin" sheetId="8" r:id="rId1"/>
    <sheet name="POS" sheetId="1" r:id="rId2"/>
    <sheet name="Orders" sheetId="2" r:id="rId3"/>
    <sheet name="OrderItems" sheetId="3" r:id="rId4"/>
    <sheet name="Customers" sheetId="6" r:id="rId5"/>
    <sheet name="Vendors" sheetId="10" r:id="rId6"/>
    <sheet name="Products" sheetId="7" r:id="rId7"/>
    <sheet name="Users" sheetId="9" r:id="rId8"/>
  </sheets>
  <definedNames>
    <definedName name="_xlnm._FilterDatabase" localSheetId="4" hidden="1">Customers!$A$2:$B$6</definedName>
    <definedName name="_xlnm._FilterDatabase" localSheetId="3" hidden="1">OrderItems!$A$2:$J$17</definedName>
    <definedName name="_xlnm._FilterDatabase" localSheetId="2" hidden="1">Orders!$A$2:$G$20</definedName>
    <definedName name="_xlnm._FilterDatabase" localSheetId="6" hidden="1">Products!$A$2:$F$31</definedName>
    <definedName name="_xlnm._FilterDatabase" localSheetId="5" hidden="1">Vendors!$A$2:$B$6</definedName>
    <definedName name="Categories">Admin!$D$4:$I$4</definedName>
    <definedName name="_xlnm.Criteria" localSheetId="3">OrderItems!$N$2:$O$3</definedName>
    <definedName name="_xlnm.Criteria" localSheetId="2">Orders!$K$2:$L$3</definedName>
    <definedName name="_xlnm.Criteria" localSheetId="6">Products!$J$2:$K$3</definedName>
    <definedName name="Customer_ID">OFFSET(Customers!$A$2,1,,COUNTA(Customers!$A$2:$A$9999)-1,1)</definedName>
    <definedName name="Customer_Name">OFFSET(Customers!$B$2,1,,COUNTA(Customers!$B$2:$B$9999)-1,1)</definedName>
    <definedName name="Customer_NamesSorted">OFFSET(Customers!$G$2,1,,COUNTA(Customers!$G$2:$G$9999)-1,1)</definedName>
    <definedName name="_xlnm.Extract" localSheetId="4">Customers!$G$2</definedName>
    <definedName name="_xlnm.Extract" localSheetId="3">OrderItems!$Q$2:$W$2</definedName>
    <definedName name="_xlnm.Extract" localSheetId="2">Orders!$O$2:$Q$2</definedName>
    <definedName name="_xlnm.Extract" localSheetId="6">Products!$N$2:$O$2</definedName>
    <definedName name="_xlnm.Extract" localSheetId="5">Vendors!$G$2</definedName>
    <definedName name="FooterMsg">Admin!$L$5</definedName>
    <definedName name="LogoutBtn">"FooterGrp,Group 1032"</definedName>
    <definedName name="Order_ID">OFFSET(Orders!$A$2,1,,COUNTA(Orders!$A$2:$A$9988)-1,1)</definedName>
    <definedName name="OrderItems_Qty">OFFSET(OrderItems!$F$2,1,,COUNTA(OrderItems!$A$2:$A$99999)-1,1)</definedName>
    <definedName name="OrderItems_SKU">OFFSET(OrderItems!$D$2,1,,COUNTA(OrderItems!$A$2:$A$99999)-1,1)</definedName>
    <definedName name="OrderItems_Type">OFFSET(OrderItems!$B$2,1,,COUNTA(OrderItems!$A$2:$A$99999)-1,1)</definedName>
    <definedName name="_xlnm.Print_Area" localSheetId="1">POS!$I$6:$O$19</definedName>
    <definedName name="Prod_SKU">OFFSET(Products!$A$2,1,,COUNTA(Products!$A$2:$A$9145)-1,1)</definedName>
    <definedName name="Subcategory1">Admin!$D$5:$D$9</definedName>
    <definedName name="Subcategory2">Admin!$E$5:$E$9</definedName>
    <definedName name="Subcategory3">Admin!$F$5:$F$9</definedName>
    <definedName name="Subcategory4">Admin!$G$5:$G$9</definedName>
    <definedName name="Subcategory5">Admin!$H$5:$H$9</definedName>
    <definedName name="Subcategory6">Admin!$I$5:$I$9</definedName>
    <definedName name="TaxName">Admin!$L$3</definedName>
    <definedName name="TaxRate">Admin!$L$4</definedName>
    <definedName name="User_ID">OFFSET(Users!$A$2,1,,COUNTA(Users!$A$2:$A$9999)-1,1)</definedName>
    <definedName name="User_Names">OFFSET(Users!$B$2,1,,COUNTA(Users!$B$2:$B$9999)-1,1)</definedName>
    <definedName name="User_Role">OFFSET(Users!$C$2,1,,COUNTA(Users!$A$2:$A$9999)-1,1)</definedName>
    <definedName name="Vendor_ID">OFFSET(Vendors!$A$2,1,,COUNTA(Vendors!$A$2:$A$9999)-1,1)</definedName>
    <definedName name="Vendor_Name">OFFSET(Vendors!$B$2,1,,COUNTA(Vendors!$B$2:$B$9999)-1,1)</definedName>
    <definedName name="Vendor_NamesSorted">OFFSET(Vendors!$G$2,1,,COUNTA(Vendors!$G$2:$G$9999)-1,1)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1" l="1"/>
  <c r="B19" i="1"/>
  <c r="P1000" i="1" l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B5" i="1"/>
  <c r="N5" i="1" l="1"/>
  <c r="B7" i="1"/>
  <c r="B10" i="1"/>
  <c r="B11" i="1" s="1"/>
  <c r="B3" i="1"/>
  <c r="B4" i="1"/>
  <c r="B13" i="1"/>
  <c r="B14" i="1" s="1"/>
  <c r="A14" i="1"/>
  <c r="I4" i="1"/>
  <c r="B15" i="1" l="1"/>
  <c r="B17" i="1" s="1"/>
  <c r="N3" i="3" l="1"/>
  <c r="K3" i="2"/>
</calcChain>
</file>

<file path=xl/sharedStrings.xml><?xml version="1.0" encoding="utf-8"?>
<sst xmlns="http://schemas.openxmlformats.org/spreadsheetml/2006/main" count="338" uniqueCount="145">
  <si>
    <t>User</t>
  </si>
  <si>
    <t>Categories</t>
  </si>
  <si>
    <t>Product Name</t>
  </si>
  <si>
    <t>Qty</t>
  </si>
  <si>
    <t>Amount</t>
  </si>
  <si>
    <t>Disc. %</t>
  </si>
  <si>
    <t>Total</t>
  </si>
  <si>
    <t>Tax</t>
  </si>
  <si>
    <t>Tax Name</t>
  </si>
  <si>
    <t>Tax Rate</t>
  </si>
  <si>
    <t>Order ID</t>
  </si>
  <si>
    <t>Qty On Hand</t>
  </si>
  <si>
    <t>User ID</t>
  </si>
  <si>
    <t>User Rights</t>
  </si>
  <si>
    <t>Add Sales</t>
  </si>
  <si>
    <t>Subtotal</t>
  </si>
  <si>
    <t>Total Paid</t>
  </si>
  <si>
    <t>Change</t>
  </si>
  <si>
    <t>Order Load</t>
  </si>
  <si>
    <t>Type</t>
  </si>
  <si>
    <t>SALE</t>
  </si>
  <si>
    <t>Purchase &amp; Sales Orders</t>
  </si>
  <si>
    <t>Sel. Row</t>
  </si>
  <si>
    <t>Status</t>
  </si>
  <si>
    <t>Open</t>
  </si>
  <si>
    <t>Paid</t>
  </si>
  <si>
    <t>Refund</t>
  </si>
  <si>
    <t>Void</t>
  </si>
  <si>
    <t>User:</t>
  </si>
  <si>
    <t>User DB Row</t>
  </si>
  <si>
    <t>Category</t>
  </si>
  <si>
    <t>Subcategories</t>
  </si>
  <si>
    <t>Ord. ID</t>
  </si>
  <si>
    <t>Order On</t>
  </si>
  <si>
    <t>Customers</t>
  </si>
  <si>
    <t>Cust. ID</t>
  </si>
  <si>
    <t>Customer Name</t>
  </si>
  <si>
    <t>Vendors</t>
  </si>
  <si>
    <t>Vend. ID</t>
  </si>
  <si>
    <t>Vendor Name</t>
  </si>
  <si>
    <t>Sorted Vendors</t>
  </si>
  <si>
    <t>Sorted Custmoms</t>
  </si>
  <si>
    <t>Icons</t>
  </si>
  <si>
    <t>Order Results</t>
  </si>
  <si>
    <t>Customer/Vendor</t>
  </si>
  <si>
    <t>Criteria</t>
  </si>
  <si>
    <t>Results</t>
  </si>
  <si>
    <t>Order Row</t>
  </si>
  <si>
    <t>Next Order ID</t>
  </si>
  <si>
    <t>Search Order Row</t>
  </si>
  <si>
    <t>Products</t>
  </si>
  <si>
    <t>Subcategory</t>
  </si>
  <si>
    <t>Purchase $</t>
  </si>
  <si>
    <t>Sales $</t>
  </si>
  <si>
    <t>Cream</t>
  </si>
  <si>
    <t>Order DB Row</t>
  </si>
  <si>
    <t>SKU/UPC</t>
  </si>
  <si>
    <t>Row</t>
  </si>
  <si>
    <t>Order Items</t>
  </si>
  <si>
    <t>&lt;&gt;</t>
  </si>
  <si>
    <t>Footer Message</t>
  </si>
  <si>
    <t>ADMIN</t>
  </si>
  <si>
    <t>Manager</t>
  </si>
  <si>
    <t>Staff</t>
  </si>
  <si>
    <t>Trainee</t>
  </si>
  <si>
    <t>Add/Edit/Void/Refund Sales &amp; Purchases</t>
  </si>
  <si>
    <t>Add Sales &amp; Purchases</t>
  </si>
  <si>
    <t>User Name</t>
  </si>
  <si>
    <t>Users</t>
  </si>
  <si>
    <t>Role</t>
  </si>
  <si>
    <t>User Rights &amp; Roles</t>
  </si>
  <si>
    <t>Application Defaults</t>
  </si>
  <si>
    <t>Order Status</t>
  </si>
  <si>
    <t>Thank You For Your Business</t>
  </si>
  <si>
    <t>PURCHASE</t>
  </si>
  <si>
    <t>Enter Order</t>
  </si>
  <si>
    <t>Sel. Result Row</t>
  </si>
  <si>
    <t>User Role</t>
  </si>
  <si>
    <t>Cust./Vend.</t>
  </si>
  <si>
    <t>Scan SKU/UPC</t>
  </si>
  <si>
    <t>Order On:</t>
  </si>
  <si>
    <t>Status:</t>
  </si>
  <si>
    <t>SKU/UPC ID</t>
  </si>
  <si>
    <t>Enter Prod DB Row</t>
  </si>
  <si>
    <t>DB  Row</t>
  </si>
  <si>
    <t>New Customer</t>
  </si>
  <si>
    <t>New Vendor</t>
  </si>
  <si>
    <t>Tablets</t>
  </si>
  <si>
    <t>Capsules</t>
  </si>
  <si>
    <t>Syrup</t>
  </si>
  <si>
    <t>Suspension</t>
  </si>
  <si>
    <t>Other</t>
  </si>
  <si>
    <t>tablet.png</t>
  </si>
  <si>
    <t>Jonah</t>
  </si>
  <si>
    <t>Kiplagat</t>
  </si>
  <si>
    <t>Jokiki</t>
  </si>
  <si>
    <t>awesam</t>
  </si>
  <si>
    <t>awesamity</t>
  </si>
  <si>
    <t>Sam</t>
  </si>
  <si>
    <t>Sammy</t>
  </si>
  <si>
    <t>Enter Customer</t>
  </si>
  <si>
    <t>Elle</t>
  </si>
  <si>
    <t>Ella</t>
  </si>
  <si>
    <t>Ellie</t>
  </si>
  <si>
    <t>Bella</t>
  </si>
  <si>
    <t>Drug Categories &amp; Subcategories</t>
  </si>
  <si>
    <t>capsule.png</t>
  </si>
  <si>
    <t>syrup.png</t>
  </si>
  <si>
    <t>cream.png</t>
  </si>
  <si>
    <t>suspension.png</t>
  </si>
  <si>
    <t>other.png</t>
  </si>
  <si>
    <t>Pain killers</t>
  </si>
  <si>
    <t>Antibiotics</t>
  </si>
  <si>
    <t>Cough drops</t>
  </si>
  <si>
    <t>DM</t>
  </si>
  <si>
    <t>HTN</t>
  </si>
  <si>
    <t>Piriton</t>
  </si>
  <si>
    <t>Panadol</t>
  </si>
  <si>
    <t>Albendazole</t>
  </si>
  <si>
    <t>Adrenaline</t>
  </si>
  <si>
    <t>Antacid</t>
  </si>
  <si>
    <t>Amoxyl</t>
  </si>
  <si>
    <t>Benahist</t>
  </si>
  <si>
    <t>Larither</t>
  </si>
  <si>
    <t>Bisacodyl</t>
  </si>
  <si>
    <t>Castor oil</t>
  </si>
  <si>
    <t>Alcephine</t>
  </si>
  <si>
    <t>Ampiclodawa</t>
  </si>
  <si>
    <t>Calamine</t>
  </si>
  <si>
    <t>Azipar</t>
  </si>
  <si>
    <t>Benzyl</t>
  </si>
  <si>
    <t>Cephalexin</t>
  </si>
  <si>
    <t>Crepe</t>
  </si>
  <si>
    <t>Cotton</t>
  </si>
  <si>
    <t>Curamol</t>
  </si>
  <si>
    <t>Cotrimoxazol</t>
  </si>
  <si>
    <t>Dawacort</t>
  </si>
  <si>
    <t>Dacold</t>
  </si>
  <si>
    <t>Dazole</t>
  </si>
  <si>
    <t>Chloramphenical</t>
  </si>
  <si>
    <t>Kalum apain balm</t>
  </si>
  <si>
    <t>Pead syrup</t>
  </si>
  <si>
    <t>Cotriech</t>
  </si>
  <si>
    <t>Cheleate</t>
  </si>
  <si>
    <t>Cloxacillin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</si>
</sst>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[$-409]m/d/yy\ h:mm\ AM/PM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11"/>
      <color theme="3" tint="-0.249977111117893"/>
      <name val="Calibri"/>
      <family val="2"/>
      <scheme val="minor"/>
    </font>
  </fonts>
  <fills count="32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4" tint="0.80001220740379042"/>
        </stop>
        <stop position="1">
          <color theme="4" tint="0.59999389629810485"/>
        </stop>
      </gradientFill>
    </fill>
    <fill>
      <gradientFill degree="90">
        <stop position="0">
          <color theme="0" tint="-5.0965910824915313E-2"/>
        </stop>
        <stop position="1">
          <color theme="0" tint="-0.1490218817712943"/>
        </stop>
      </gradientFill>
    </fill>
    <fill>
      <patternFill patternType="solid">
        <fgColor theme="3" tint="0.399975585192419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gradientFill degree="270">
        <stop position="0">
          <color theme="3" tint="0.59999389629810485"/>
        </stop>
        <stop position="1">
          <color theme="3" tint="0.40000610370189521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rgb="FF92D050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rgb="FF4BD0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4">
    <xf numFmtId="0" fontId="0" fillId="0" borderId="0" xfId="0"/>
    <xf numFmtId="0" fontId="0" fillId="3" borderId="0" xfId="0" applyFill="1"/>
    <xf numFmtId="0" fontId="0" fillId="4" borderId="0" xfId="0" applyFill="1"/>
    <xf numFmtId="0" fontId="0" fillId="6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16" borderId="1" xfId="0" applyFill="1" applyBorder="1"/>
    <xf numFmtId="0" fontId="0" fillId="18" borderId="1" xfId="0" applyFill="1" applyBorder="1"/>
    <xf numFmtId="0" fontId="0" fillId="0" borderId="0" xfId="0"/>
    <xf numFmtId="0" fontId="0" fillId="20" borderId="0" xfId="0" applyFill="1" applyAlignment="1">
      <alignment horizontal="center"/>
    </xf>
    <xf numFmtId="0" fontId="0" fillId="19" borderId="1" xfId="0" applyFill="1" applyBorder="1"/>
    <xf numFmtId="0" fontId="2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0" fillId="8" borderId="11" xfId="0" applyFill="1" applyBorder="1"/>
    <xf numFmtId="0" fontId="0" fillId="23" borderId="1" xfId="0" applyFill="1" applyBorder="1"/>
    <xf numFmtId="0" fontId="0" fillId="23" borderId="1" xfId="0" applyFill="1" applyBorder="1" applyAlignment="1">
      <alignment horizontal="center"/>
    </xf>
    <xf numFmtId="44" fontId="0" fillId="0" borderId="0" xfId="1" applyFont="1"/>
    <xf numFmtId="0" fontId="0" fillId="4" borderId="7" xfId="0" applyFill="1" applyBorder="1"/>
    <xf numFmtId="0" fontId="3" fillId="4" borderId="1" xfId="0" applyFont="1" applyFill="1" applyBorder="1" applyAlignment="1">
      <alignment horizontal="center"/>
    </xf>
    <xf numFmtId="0" fontId="3" fillId="26" borderId="1" xfId="0" applyFont="1" applyFill="1" applyBorder="1" applyAlignment="1">
      <alignment horizontal="center"/>
    </xf>
    <xf numFmtId="0" fontId="0" fillId="0" borderId="10" xfId="0" applyBorder="1"/>
    <xf numFmtId="0" fontId="0" fillId="0" borderId="0" xfId="0"/>
    <xf numFmtId="0" fontId="0" fillId="0" borderId="0" xfId="0"/>
    <xf numFmtId="0" fontId="0" fillId="0" borderId="1" xfId="0" applyBorder="1"/>
    <xf numFmtId="0" fontId="7" fillId="2" borderId="0" xfId="0" applyFont="1" applyFill="1" applyAlignment="1"/>
    <xf numFmtId="0" fontId="0" fillId="4" borderId="0" xfId="0" applyFill="1" applyAlignment="1">
      <alignment horizontal="left"/>
    </xf>
    <xf numFmtId="0" fontId="0" fillId="8" borderId="1" xfId="0" applyFill="1" applyBorder="1"/>
    <xf numFmtId="0" fontId="0" fillId="8" borderId="3" xfId="0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16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10" fontId="0" fillId="0" borderId="1" xfId="2" applyNumberFormat="1" applyFont="1" applyBorder="1" applyAlignment="1">
      <alignment horizontal="left"/>
    </xf>
    <xf numFmtId="0" fontId="0" fillId="7" borderId="1" xfId="0" applyFill="1" applyBorder="1"/>
    <xf numFmtId="0" fontId="0" fillId="18" borderId="1" xfId="0" applyFill="1" applyBorder="1" applyAlignment="1">
      <alignment horizontal="center"/>
    </xf>
    <xf numFmtId="7" fontId="0" fillId="0" borderId="0" xfId="0" applyNumberFormat="1"/>
    <xf numFmtId="0" fontId="3" fillId="23" borderId="1" xfId="0" applyFont="1" applyFill="1" applyBorder="1" applyAlignment="1">
      <alignment horizontal="center"/>
    </xf>
    <xf numFmtId="0" fontId="0" fillId="28" borderId="1" xfId="0" applyFill="1" applyBorder="1"/>
    <xf numFmtId="44" fontId="0" fillId="28" borderId="1" xfId="1" applyFont="1" applyFill="1" applyBorder="1"/>
    <xf numFmtId="7" fontId="0" fillId="28" borderId="1" xfId="1" applyNumberFormat="1" applyFont="1" applyFill="1" applyBorder="1"/>
    <xf numFmtId="0" fontId="0" fillId="0" borderId="0" xfId="0"/>
    <xf numFmtId="0" fontId="0" fillId="4" borderId="0" xfId="0" applyFill="1"/>
    <xf numFmtId="0" fontId="0" fillId="0" borderId="0" xfId="0" applyAlignment="1">
      <alignment horizontal="center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9" fontId="0" fillId="4" borderId="0" xfId="2" applyFont="1" applyFill="1" applyBorder="1" applyAlignment="1">
      <alignment horizontal="right"/>
    </xf>
    <xf numFmtId="44" fontId="0" fillId="4" borderId="0" xfId="1" applyFon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5" fillId="4" borderId="4" xfId="0" applyFont="1" applyFill="1" applyBorder="1" applyAlignment="1">
      <alignment horizontal="left"/>
    </xf>
    <xf numFmtId="0" fontId="5" fillId="4" borderId="2" xfId="0" applyFont="1" applyFill="1" applyBorder="1" applyAlignment="1">
      <alignment horizontal="left"/>
    </xf>
    <xf numFmtId="9" fontId="5" fillId="4" borderId="2" xfId="2" applyFont="1" applyFill="1" applyBorder="1" applyAlignment="1">
      <alignment horizontal="right"/>
    </xf>
    <xf numFmtId="44" fontId="5" fillId="4" borderId="2" xfId="1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left"/>
    </xf>
    <xf numFmtId="9" fontId="5" fillId="4" borderId="0" xfId="2" applyFont="1" applyFill="1" applyBorder="1" applyAlignment="1">
      <alignment horizontal="right"/>
    </xf>
    <xf numFmtId="44" fontId="5" fillId="4" borderId="0" xfId="1" applyFont="1" applyFill="1" applyBorder="1" applyAlignment="1">
      <alignment horizontal="left"/>
    </xf>
    <xf numFmtId="0" fontId="5" fillId="4" borderId="7" xfId="0" applyFont="1" applyFill="1" applyBorder="1" applyAlignment="1">
      <alignment horizontal="left"/>
    </xf>
    <xf numFmtId="0" fontId="5" fillId="4" borderId="2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0" fillId="5" borderId="1" xfId="0" applyFill="1" applyBorder="1" applyAlignment="1">
      <alignment horizontal="left" vertical="center"/>
    </xf>
    <xf numFmtId="0" fontId="0" fillId="4" borderId="1" xfId="0" applyFont="1" applyFill="1" applyBorder="1" applyAlignment="1"/>
    <xf numFmtId="0" fontId="0" fillId="5" borderId="1" xfId="0" applyFill="1" applyBorder="1" applyAlignment="1">
      <alignment horizontal="left" vertical="center" indent="1"/>
    </xf>
    <xf numFmtId="0" fontId="3" fillId="13" borderId="8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/>
    </xf>
    <xf numFmtId="0" fontId="0" fillId="24" borderId="1" xfId="0" applyFill="1" applyBorder="1"/>
    <xf numFmtId="0" fontId="0" fillId="24" borderId="1" xfId="0" applyFill="1" applyBorder="1" applyAlignment="1">
      <alignment horizontal="left"/>
    </xf>
    <xf numFmtId="22" fontId="0" fillId="0" borderId="0" xfId="0" applyNumberFormat="1"/>
    <xf numFmtId="0" fontId="0" fillId="4" borderId="6" xfId="0" applyFill="1" applyBorder="1"/>
    <xf numFmtId="44" fontId="0" fillId="4" borderId="0" xfId="1" applyFont="1" applyFill="1" applyBorder="1"/>
    <xf numFmtId="0" fontId="0" fillId="4" borderId="7" xfId="0" applyFill="1" applyBorder="1"/>
    <xf numFmtId="7" fontId="5" fillId="4" borderId="0" xfId="1" applyNumberFormat="1" applyFont="1" applyFill="1" applyBorder="1" applyAlignment="1">
      <alignment horizontal="left"/>
    </xf>
    <xf numFmtId="7" fontId="5" fillId="4" borderId="2" xfId="1" applyNumberFormat="1" applyFont="1" applyFill="1" applyBorder="1" applyAlignment="1">
      <alignment horizontal="left"/>
    </xf>
    <xf numFmtId="7" fontId="5" fillId="4" borderId="0" xfId="0" applyNumberFormat="1" applyFont="1" applyFill="1" applyBorder="1" applyAlignment="1">
      <alignment horizontal="left"/>
    </xf>
    <xf numFmtId="7" fontId="0" fillId="0" borderId="0" xfId="0" applyNumberFormat="1"/>
    <xf numFmtId="0" fontId="0" fillId="0" borderId="0" xfId="0" applyFill="1" applyBorder="1"/>
    <xf numFmtId="0" fontId="0" fillId="27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right" vertical="center"/>
    </xf>
    <xf numFmtId="0" fontId="0" fillId="4" borderId="0" xfId="0" applyFont="1" applyFill="1" applyBorder="1" applyAlignment="1"/>
    <xf numFmtId="164" fontId="0" fillId="4" borderId="0" xfId="0" applyNumberFormat="1" applyFont="1" applyFill="1" applyBorder="1" applyAlignment="1"/>
    <xf numFmtId="164" fontId="0" fillId="4" borderId="0" xfId="0" applyNumberFormat="1" applyFill="1" applyBorder="1" applyAlignment="1"/>
    <xf numFmtId="0" fontId="0" fillId="4" borderId="0" xfId="0" applyFill="1" applyBorder="1" applyAlignment="1"/>
    <xf numFmtId="0" fontId="3" fillId="30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right"/>
    </xf>
    <xf numFmtId="0" fontId="0" fillId="5" borderId="1" xfId="0" applyFill="1" applyBorder="1"/>
    <xf numFmtId="0" fontId="0" fillId="4" borderId="1" xfId="0" applyFill="1" applyBorder="1" applyAlignment="1">
      <alignment horizontal="right" vertical="center"/>
    </xf>
    <xf numFmtId="0" fontId="3" fillId="4" borderId="3" xfId="0" applyFont="1" applyFill="1" applyBorder="1" applyAlignment="1">
      <alignment vertical="center"/>
    </xf>
    <xf numFmtId="0" fontId="3" fillId="5" borderId="3" xfId="0" applyFont="1" applyFill="1" applyBorder="1" applyAlignment="1">
      <alignment horizontal="left" vertical="center"/>
    </xf>
    <xf numFmtId="22" fontId="0" fillId="4" borderId="2" xfId="0" applyNumberFormat="1" applyFont="1" applyFill="1" applyBorder="1" applyAlignment="1"/>
    <xf numFmtId="0" fontId="8" fillId="4" borderId="0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0" fillId="31" borderId="1" xfId="0" applyFill="1" applyBorder="1"/>
    <xf numFmtId="0" fontId="7" fillId="2" borderId="0" xfId="0" applyFont="1" applyFill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8" borderId="11" xfId="0" applyFill="1" applyBorder="1" applyAlignment="1">
      <alignment horizontal="center" vertical="center"/>
    </xf>
    <xf numFmtId="0" fontId="2" fillId="21" borderId="13" xfId="0" applyFont="1" applyFill="1" applyBorder="1" applyAlignment="1">
      <alignment horizontal="center"/>
    </xf>
    <xf numFmtId="0" fontId="2" fillId="21" borderId="14" xfId="0" applyFont="1" applyFill="1" applyBorder="1" applyAlignment="1">
      <alignment horizontal="center"/>
    </xf>
    <xf numFmtId="0" fontId="2" fillId="21" borderId="15" xfId="0" applyFont="1" applyFill="1" applyBorder="1" applyAlignment="1">
      <alignment horizontal="center"/>
    </xf>
    <xf numFmtId="0" fontId="2" fillId="21" borderId="4" xfId="0" applyFont="1" applyFill="1" applyBorder="1" applyAlignment="1">
      <alignment horizontal="center"/>
    </xf>
    <xf numFmtId="0" fontId="2" fillId="21" borderId="2" xfId="0" applyFont="1" applyFill="1" applyBorder="1" applyAlignment="1">
      <alignment horizontal="center"/>
    </xf>
    <xf numFmtId="0" fontId="2" fillId="21" borderId="5" xfId="0" applyFont="1" applyFill="1" applyBorder="1" applyAlignment="1">
      <alignment horizontal="center"/>
    </xf>
    <xf numFmtId="0" fontId="3" fillId="29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right"/>
    </xf>
    <xf numFmtId="164" fontId="0" fillId="4" borderId="1" xfId="0" applyNumberFormat="1" applyFill="1" applyBorder="1" applyAlignment="1">
      <alignment horizontal="left"/>
    </xf>
    <xf numFmtId="0" fontId="3" fillId="22" borderId="0" xfId="0" applyFont="1" applyFill="1" applyAlignment="1">
      <alignment horizontal="center"/>
    </xf>
    <xf numFmtId="0" fontId="3" fillId="22" borderId="1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center"/>
    </xf>
    <xf numFmtId="0" fontId="0" fillId="17" borderId="0" xfId="0" applyFill="1" applyAlignment="1">
      <alignment horizontal="center"/>
    </xf>
    <xf numFmtId="0" fontId="3" fillId="11" borderId="12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25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4F7FA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auto="1"/>
          <bgColor rgb="FFECF2F8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ont>
        <b val="0"/>
        <i/>
        <color theme="0" tint="-0.34998626667073579"/>
      </font>
    </dxf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E1EAF3"/>
        </patternFill>
      </fill>
    </dxf>
  </dxfs>
  <tableStyles count="0" defaultTableStyle="TableStyleMedium2" defaultPivotStyle="PivotStyleLight16"/>
  <colors>
    <mruColors>
      <color rgb="FFEA0000"/>
      <color rgb="FF4BD0FF"/>
      <color rgb="FFF4F7FA"/>
      <color rgb="FFECF2F8"/>
      <color rgb="FFE1EAF3"/>
      <color rgb="FFF7F7F7"/>
      <color rgb="FFCCD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awesam.me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jpe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12</xdr:row>
      <xdr:rowOff>0</xdr:rowOff>
    </xdr:from>
    <xdr:to>
      <xdr:col>5</xdr:col>
      <xdr:colOff>230407</xdr:colOff>
      <xdr:row>30</xdr:row>
      <xdr:rowOff>116107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030A760-0061-4681-BA4A-B9288E71E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9200" y="2781300"/>
          <a:ext cx="3545107" cy="3545107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1</xdr:row>
      <xdr:rowOff>166687</xdr:rowOff>
    </xdr:from>
    <xdr:to>
      <xdr:col>9</xdr:col>
      <xdr:colOff>129540</xdr:colOff>
      <xdr:row>1</xdr:row>
      <xdr:rowOff>395287</xdr:rowOff>
    </xdr:to>
    <xdr:sp macro="[0]!SalesPurchase_Toggle" textlink="">
      <xdr:nvSpPr>
        <xdr:cNvPr id="67" name="ToggleBack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5353050" y="728662"/>
          <a:ext cx="548640" cy="228600"/>
        </a:xfrm>
        <a:prstGeom prst="rect">
          <a:avLst/>
        </a:prstGeom>
        <a:solidFill>
          <a:schemeClr val="bg1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</xdr:row>
      <xdr:rowOff>166687</xdr:rowOff>
    </xdr:from>
    <xdr:to>
      <xdr:col>8</xdr:col>
      <xdr:colOff>807720</xdr:colOff>
      <xdr:row>1</xdr:row>
      <xdr:rowOff>395287</xdr:rowOff>
    </xdr:to>
    <xdr:sp macro="[0]!SalesPurchase_Toggle" textlink="">
      <xdr:nvSpPr>
        <xdr:cNvPr id="463" name="ToggleSwitch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>
        <a:xfrm>
          <a:off x="695325" y="728662"/>
          <a:ext cx="274320" cy="228600"/>
        </a:xfrm>
        <a:prstGeom prst="rect">
          <a:avLst/>
        </a:prstGeom>
        <a:solidFill>
          <a:srgbClr val="0070C0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47625</xdr:colOff>
      <xdr:row>1</xdr:row>
      <xdr:rowOff>166687</xdr:rowOff>
    </xdr:from>
    <xdr:to>
      <xdr:col>8</xdr:col>
      <xdr:colOff>504825</xdr:colOff>
      <xdr:row>1</xdr:row>
      <xdr:rowOff>395287</xdr:rowOff>
    </xdr:to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 txBox="1"/>
      </xdr:nvSpPr>
      <xdr:spPr>
        <a:xfrm>
          <a:off x="4867275" y="728662"/>
          <a:ext cx="4572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r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SALE</a:t>
          </a:r>
        </a:p>
      </xdr:txBody>
    </xdr:sp>
    <xdr:clientData/>
  </xdr:twoCellAnchor>
  <xdr:twoCellAnchor>
    <xdr:from>
      <xdr:col>9</xdr:col>
      <xdr:colOff>142875</xdr:colOff>
      <xdr:row>1</xdr:row>
      <xdr:rowOff>166687</xdr:rowOff>
    </xdr:from>
    <xdr:to>
      <xdr:col>9</xdr:col>
      <xdr:colOff>920115</xdr:colOff>
      <xdr:row>1</xdr:row>
      <xdr:rowOff>395287</xdr:rowOff>
    </xdr:to>
    <xdr:sp macro="" textlink="">
      <xdr:nvSpPr>
        <xdr:cNvPr id="465" name="TextBox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 txBox="1"/>
      </xdr:nvSpPr>
      <xdr:spPr>
        <a:xfrm>
          <a:off x="5915025" y="728662"/>
          <a:ext cx="77724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l"/>
          <a:r>
            <a:rPr lang="en-US" sz="1100" b="1" i="0" u="none" strike="noStrike">
              <a:solidFill>
                <a:srgbClr val="000000"/>
              </a:solidFill>
              <a:latin typeface="Calibri"/>
              <a:cs typeface="Calibri"/>
            </a:rPr>
            <a:t>PURCHASE</a:t>
          </a:r>
        </a:p>
      </xdr:txBody>
    </xdr:sp>
    <xdr:clientData/>
  </xdr:twoCellAnchor>
  <xdr:twoCellAnchor>
    <xdr:from>
      <xdr:col>9</xdr:col>
      <xdr:colOff>1133475</xdr:colOff>
      <xdr:row>1</xdr:row>
      <xdr:rowOff>100011</xdr:rowOff>
    </xdr:from>
    <xdr:to>
      <xdr:col>12</xdr:col>
      <xdr:colOff>276225</xdr:colOff>
      <xdr:row>1</xdr:row>
      <xdr:rowOff>447674</xdr:rowOff>
    </xdr:to>
    <xdr:sp macro="" textlink="$B$1">
      <xdr:nvSpPr>
        <xdr:cNvPr id="466" name="TextBox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 txBox="1"/>
      </xdr:nvSpPr>
      <xdr:spPr>
        <a:xfrm>
          <a:off x="6905625" y="661986"/>
          <a:ext cx="1962150" cy="3476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ctr"/>
          <a:fld id="{3A1C7FC0-6890-4241-A12C-4A956DF9DFAF}" type="TxLink">
            <a:rPr lang="en-US" sz="2500" b="0" i="0" u="none" strike="noStrike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  <a:cs typeface="Calibri"/>
            </a:rPr>
            <a:pPr algn="ctr"/>
            <a:t>SALE</a:t>
          </a:fld>
          <a:endParaRPr lang="en-US" sz="2500" b="1" i="0" u="none" strike="noStrike">
            <a:solidFill>
              <a:schemeClr val="tx2">
                <a:lumMod val="75000"/>
              </a:schemeClr>
            </a:solidFill>
            <a:latin typeface="Arial Rounded MT Bold" panose="020F0704030504030204" pitchFamily="34" charset="0"/>
            <a:cs typeface="Calibri"/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731520</xdr:colOff>
      <xdr:row>0</xdr:row>
      <xdr:rowOff>0</xdr:rowOff>
    </xdr:to>
    <xdr:sp macro="" textlink="">
      <xdr:nvSpPr>
        <xdr:cNvPr id="474" name="Rectangle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>
          <a:off x="11934825" y="0"/>
          <a:ext cx="731520" cy="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100" b="0"/>
            <a:t>Logout</a:t>
          </a:r>
        </a:p>
      </xdr:txBody>
    </xdr:sp>
    <xdr:clientData/>
  </xdr:twoCellAnchor>
  <xdr:twoCellAnchor>
    <xdr:from>
      <xdr:col>18</xdr:col>
      <xdr:colOff>62865</xdr:colOff>
      <xdr:row>1</xdr:row>
      <xdr:rowOff>114298</xdr:rowOff>
    </xdr:from>
    <xdr:to>
      <xdr:col>19</xdr:col>
      <xdr:colOff>49911</xdr:colOff>
      <xdr:row>3</xdr:row>
      <xdr:rowOff>28573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DDC80B7D-4D33-CC6E-00B9-ADCF6FF14E49}"/>
            </a:ext>
          </a:extLst>
        </xdr:cNvPr>
        <xdr:cNvGrpSpPr/>
      </xdr:nvGrpSpPr>
      <xdr:grpSpPr>
        <a:xfrm>
          <a:off x="7006590" y="676273"/>
          <a:ext cx="768096" cy="685800"/>
          <a:chOff x="7006590" y="676273"/>
          <a:chExt cx="768096" cy="685800"/>
        </a:xfrm>
      </xdr:grpSpPr>
      <xdr:sp macro="[0]!POS_LoadSubCategory" textlink="Admin!E4">
        <xdr:nvSpPr>
          <xdr:cNvPr id="423" name="Category2">
            <a:extLst>
              <a:ext uri="{FF2B5EF4-FFF2-40B4-BE49-F238E27FC236}">
                <a16:creationId xmlns:a16="http://schemas.microsoft.com/office/drawing/2014/main" id="{00000000-0008-0000-0100-0000A7010000}"/>
              </a:ext>
            </a:extLst>
          </xdr:cNvPr>
          <xdr:cNvSpPr/>
        </xdr:nvSpPr>
        <xdr:spPr>
          <a:xfrm>
            <a:off x="7006590" y="676273"/>
            <a:ext cx="768096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2511AED8-365C-477D-862C-CD3847321438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Capsules</a:t>
            </a:fld>
            <a:endParaRPr lang="en-US" sz="1100"/>
          </a:p>
        </xdr:txBody>
      </xdr:sp>
      <xdr:pic macro="[0]!POS_LoadSubCategory">
        <xdr:nvPicPr>
          <xdr:cNvPr id="69" name="CatIcon2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195927" y="744932"/>
            <a:ext cx="398068" cy="39806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188595</xdr:colOff>
      <xdr:row>1</xdr:row>
      <xdr:rowOff>114298</xdr:rowOff>
    </xdr:from>
    <xdr:to>
      <xdr:col>21</xdr:col>
      <xdr:colOff>175641</xdr:colOff>
      <xdr:row>3</xdr:row>
      <xdr:rowOff>28573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E8EAAFE-1AFA-CE69-6081-329FA76DDF9F}"/>
            </a:ext>
          </a:extLst>
        </xdr:cNvPr>
        <xdr:cNvGrpSpPr/>
      </xdr:nvGrpSpPr>
      <xdr:grpSpPr>
        <a:xfrm>
          <a:off x="8694420" y="676273"/>
          <a:ext cx="768096" cy="685800"/>
          <a:chOff x="8694420" y="676273"/>
          <a:chExt cx="768096" cy="685800"/>
        </a:xfrm>
      </xdr:grpSpPr>
      <xdr:sp macro="[0]!POS_LoadSubCategory" textlink="Admin!G4">
        <xdr:nvSpPr>
          <xdr:cNvPr id="425" name="Category4">
            <a:extLst>
              <a:ext uri="{FF2B5EF4-FFF2-40B4-BE49-F238E27FC236}">
                <a16:creationId xmlns:a16="http://schemas.microsoft.com/office/drawing/2014/main" id="{00000000-0008-0000-0100-0000A9010000}"/>
              </a:ext>
            </a:extLst>
          </xdr:cNvPr>
          <xdr:cNvSpPr/>
        </xdr:nvSpPr>
        <xdr:spPr>
          <a:xfrm>
            <a:off x="8694420" y="676273"/>
            <a:ext cx="768096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44386170-6D6B-429E-B64D-8878E2A0EBFC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Cream</a:t>
            </a:fld>
            <a:endParaRPr lang="en-US" sz="1100"/>
          </a:p>
        </xdr:txBody>
      </xdr:sp>
      <xdr:pic macro="[0]!POS_LoadSubCategory">
        <xdr:nvPicPr>
          <xdr:cNvPr id="70" name="CatIcon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886825" y="769086"/>
            <a:ext cx="352891" cy="35289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314325</xdr:colOff>
      <xdr:row>1</xdr:row>
      <xdr:rowOff>114298</xdr:rowOff>
    </xdr:from>
    <xdr:to>
      <xdr:col>23</xdr:col>
      <xdr:colOff>301371</xdr:colOff>
      <xdr:row>3</xdr:row>
      <xdr:rowOff>28573</xdr:rowOff>
    </xdr:to>
    <xdr:sp macro="[0]!POS_LoadSubCategory" textlink="Admin!I4">
      <xdr:nvSpPr>
        <xdr:cNvPr id="427" name="Category6">
          <a:extLs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>
        <a:xfrm>
          <a:off x="10382250" y="676273"/>
          <a:ext cx="768096" cy="685800"/>
        </a:xfrm>
        <a:prstGeom prst="rect">
          <a:avLst/>
        </a:prstGeom>
      </xdr:spPr>
      <xdr:style>
        <a:lnRef idx="1">
          <a:schemeClr val="accent1"/>
        </a:lnRef>
        <a:fillRef idx="1001">
          <a:schemeClr val="dk2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18288" rtlCol="0" anchor="b"/>
        <a:lstStyle/>
        <a:p>
          <a:pPr algn="ctr"/>
          <a:fld id="{E054A255-2D27-4E19-8598-368224E27CFB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Other</a:t>
          </a:fld>
          <a:endParaRPr lang="en-US" sz="1100"/>
        </a:p>
      </xdr:txBody>
    </xdr:sp>
    <xdr:clientData/>
  </xdr:twoCellAnchor>
  <xdr:twoCellAnchor>
    <xdr:from>
      <xdr:col>22</xdr:col>
      <xdr:colOff>529196</xdr:colOff>
      <xdr:row>1</xdr:row>
      <xdr:rowOff>238125</xdr:rowOff>
    </xdr:from>
    <xdr:to>
      <xdr:col>23</xdr:col>
      <xdr:colOff>104991</xdr:colOff>
      <xdr:row>2</xdr:row>
      <xdr:rowOff>52045</xdr:rowOff>
    </xdr:to>
    <xdr:pic macro="[0]!POS_LoadSubCategory">
      <xdr:nvPicPr>
        <xdr:cNvPr id="71" name="CatIcon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97121" y="800100"/>
          <a:ext cx="356845" cy="35684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</xdr:row>
      <xdr:rowOff>114298</xdr:rowOff>
    </xdr:from>
    <xdr:to>
      <xdr:col>17</xdr:col>
      <xdr:colOff>768096</xdr:colOff>
      <xdr:row>3</xdr:row>
      <xdr:rowOff>28573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3A3BF70-9B5D-5403-B16D-486DB6D3D706}"/>
            </a:ext>
          </a:extLst>
        </xdr:cNvPr>
        <xdr:cNvGrpSpPr/>
      </xdr:nvGrpSpPr>
      <xdr:grpSpPr>
        <a:xfrm>
          <a:off x="6162675" y="676273"/>
          <a:ext cx="768096" cy="685800"/>
          <a:chOff x="6162675" y="676273"/>
          <a:chExt cx="768096" cy="685800"/>
        </a:xfrm>
      </xdr:grpSpPr>
      <xdr:sp macro="[0]!POS_LoadSubCategory" textlink="Admin!D4">
        <xdr:nvSpPr>
          <xdr:cNvPr id="45" name="Category1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6162675" y="676273"/>
            <a:ext cx="768096" cy="68580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61D81DC4-BD1C-4D90-9EB6-394A9B8681A8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Tablets</a:t>
            </a:fld>
            <a:endParaRPr lang="en-US" sz="1100"/>
          </a:p>
        </xdr:txBody>
      </xdr:sp>
      <xdr:pic macro="[0]!POS_LoadSubCategory">
        <xdr:nvPicPr>
          <xdr:cNvPr id="72" name="CatIcon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314890" y="716357"/>
            <a:ext cx="436168" cy="436168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514350</xdr:colOff>
      <xdr:row>1</xdr:row>
      <xdr:rowOff>196177</xdr:rowOff>
    </xdr:from>
    <xdr:to>
      <xdr:col>15</xdr:col>
      <xdr:colOff>217170</xdr:colOff>
      <xdr:row>1</xdr:row>
      <xdr:rowOff>424777</xdr:rowOff>
    </xdr:to>
    <xdr:grpSp>
      <xdr:nvGrpSpPr>
        <xdr:cNvPr id="1126" name="LogoutBtn">
          <a:extLst>
            <a:ext uri="{FF2B5EF4-FFF2-40B4-BE49-F238E27FC236}">
              <a16:creationId xmlns:a16="http://schemas.microsoft.com/office/drawing/2014/main" id="{00000000-0008-0000-0100-000066040000}"/>
            </a:ext>
          </a:extLst>
        </xdr:cNvPr>
        <xdr:cNvGrpSpPr/>
      </xdr:nvGrpSpPr>
      <xdr:grpSpPr>
        <a:xfrm>
          <a:off x="5057775" y="758152"/>
          <a:ext cx="731520" cy="228600"/>
          <a:chOff x="9715500" y="758152"/>
          <a:chExt cx="731520" cy="228600"/>
        </a:xfrm>
      </xdr:grpSpPr>
      <xdr:sp macro="[0]!User_Logout" textlink="">
        <xdr:nvSpPr>
          <xdr:cNvPr id="473" name="Rectangle 472">
            <a:extLst>
              <a:ext uri="{FF2B5EF4-FFF2-40B4-BE49-F238E27FC236}">
                <a16:creationId xmlns:a16="http://schemas.microsoft.com/office/drawing/2014/main" id="{00000000-0008-0000-0100-0000D9010000}"/>
              </a:ext>
            </a:extLst>
          </xdr:cNvPr>
          <xdr:cNvSpPr/>
        </xdr:nvSpPr>
        <xdr:spPr>
          <a:xfrm>
            <a:off x="9715500" y="758152"/>
            <a:ext cx="731520" cy="2286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Logout</a:t>
            </a:r>
          </a:p>
        </xdr:txBody>
      </xdr:sp>
      <xdr:pic macro="[0]!User_Logout">
        <xdr:nvPicPr>
          <xdr:cNvPr id="73" name="Picture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34475" y="781012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251460</xdr:colOff>
      <xdr:row>1</xdr:row>
      <xdr:rowOff>114298</xdr:rowOff>
    </xdr:from>
    <xdr:to>
      <xdr:col>22</xdr:col>
      <xdr:colOff>238506</xdr:colOff>
      <xdr:row>3</xdr:row>
      <xdr:rowOff>28573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6C421F88-691F-4A45-9667-9F620F8AB013}"/>
            </a:ext>
          </a:extLst>
        </xdr:cNvPr>
        <xdr:cNvGrpSpPr/>
      </xdr:nvGrpSpPr>
      <xdr:grpSpPr>
        <a:xfrm>
          <a:off x="9538335" y="676273"/>
          <a:ext cx="768096" cy="685800"/>
          <a:chOff x="9538335" y="676273"/>
          <a:chExt cx="768096" cy="685800"/>
        </a:xfrm>
      </xdr:grpSpPr>
      <xdr:sp macro="[0]!POS_LoadSubCategory" textlink="Admin!H4">
        <xdr:nvSpPr>
          <xdr:cNvPr id="426" name="Category5">
            <a:extLst>
              <a:ext uri="{FF2B5EF4-FFF2-40B4-BE49-F238E27FC236}">
                <a16:creationId xmlns:a16="http://schemas.microsoft.com/office/drawing/2014/main" id="{00000000-0008-0000-0100-0000AA010000}"/>
              </a:ext>
            </a:extLst>
          </xdr:cNvPr>
          <xdr:cNvSpPr/>
        </xdr:nvSpPr>
        <xdr:spPr>
          <a:xfrm>
            <a:off x="9538335" y="676273"/>
            <a:ext cx="768096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D70B9330-4475-461B-8C69-E2E117BA95D4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Suspension</a:t>
            </a:fld>
            <a:endParaRPr lang="en-US" sz="1100"/>
          </a:p>
        </xdr:txBody>
      </xdr:sp>
      <xdr:pic macro="[0]!POS_LoadSubCategory">
        <xdr:nvPicPr>
          <xdr:cNvPr id="80" name="CatIcon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9736075" y="771525"/>
            <a:ext cx="371475" cy="371475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125730</xdr:colOff>
      <xdr:row>1</xdr:row>
      <xdr:rowOff>114298</xdr:rowOff>
    </xdr:from>
    <xdr:to>
      <xdr:col>20</xdr:col>
      <xdr:colOff>112776</xdr:colOff>
      <xdr:row>3</xdr:row>
      <xdr:rowOff>28573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6998FD4-4054-4A29-27A8-58C3618E3DE3}"/>
            </a:ext>
          </a:extLst>
        </xdr:cNvPr>
        <xdr:cNvGrpSpPr/>
      </xdr:nvGrpSpPr>
      <xdr:grpSpPr>
        <a:xfrm>
          <a:off x="7850505" y="676273"/>
          <a:ext cx="768096" cy="685800"/>
          <a:chOff x="7850505" y="676273"/>
          <a:chExt cx="768096" cy="685800"/>
        </a:xfrm>
      </xdr:grpSpPr>
      <xdr:sp macro="[0]!POS_LoadSubCategory" textlink="Admin!F4">
        <xdr:nvSpPr>
          <xdr:cNvPr id="424" name="Category3">
            <a:extLst>
              <a:ext uri="{FF2B5EF4-FFF2-40B4-BE49-F238E27FC236}">
                <a16:creationId xmlns:a16="http://schemas.microsoft.com/office/drawing/2014/main" id="{00000000-0008-0000-0100-0000A8010000}"/>
              </a:ext>
            </a:extLst>
          </xdr:cNvPr>
          <xdr:cNvSpPr/>
        </xdr:nvSpPr>
        <xdr:spPr>
          <a:xfrm>
            <a:off x="7850505" y="676273"/>
            <a:ext cx="768096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C973A283-CD22-45F2-A125-2F4CE5451A34}" type="TxLink">
              <a:rPr lang="en-US" sz="1100" b="0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Syrup</a:t>
            </a:fld>
            <a:endParaRPr lang="en-US" sz="1100"/>
          </a:p>
        </xdr:txBody>
      </xdr:sp>
      <xdr:pic macro="[0]!POS_LoadSubCategory">
        <xdr:nvPicPr>
          <xdr:cNvPr id="81" name="CatIcon3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039101" y="758665"/>
            <a:ext cx="370598" cy="370602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0</xdr:colOff>
      <xdr:row>9</xdr:row>
      <xdr:rowOff>12700</xdr:rowOff>
    </xdr:from>
    <xdr:to>
      <xdr:col>14</xdr:col>
      <xdr:colOff>218655</xdr:colOff>
      <xdr:row>9</xdr:row>
      <xdr:rowOff>195580</xdr:rowOff>
    </xdr:to>
    <xdr:grpSp>
      <xdr:nvGrpSpPr>
        <xdr:cNvPr id="1032" name="SelItemGrp" hidden="1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GrpSpPr/>
      </xdr:nvGrpSpPr>
      <xdr:grpSpPr>
        <a:xfrm>
          <a:off x="2514600" y="2717800"/>
          <a:ext cx="2923755" cy="182880"/>
          <a:chOff x="7157850" y="2279887"/>
          <a:chExt cx="2923755" cy="182880"/>
        </a:xfrm>
      </xdr:grpSpPr>
      <xdr:pic macro="[0]!Order_ItemRemove">
        <xdr:nvPicPr>
          <xdr:cNvPr id="82" name="Picture 81" hidden="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8725" y="2279887"/>
            <a:ext cx="182880" cy="182880"/>
          </a:xfrm>
          <a:prstGeom prst="rect">
            <a:avLst/>
          </a:prstGeom>
        </xdr:spPr>
      </xdr:pic>
      <xdr:pic macro="[0]!Order_ItemIncreaseQty">
        <xdr:nvPicPr>
          <xdr:cNvPr id="84" name="Picture 83" hidden="1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65075" y="2279887"/>
            <a:ext cx="182880" cy="182880"/>
          </a:xfrm>
          <a:prstGeom prst="rect">
            <a:avLst/>
          </a:prstGeom>
        </xdr:spPr>
      </xdr:pic>
      <xdr:pic macro="[0]!Order_ItemDecreaseQty">
        <xdr:nvPicPr>
          <xdr:cNvPr id="86" name="Picture 85" hidden="1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7850" y="2279887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104792</xdr:colOff>
      <xdr:row>0</xdr:row>
      <xdr:rowOff>19050</xdr:rowOff>
    </xdr:from>
    <xdr:to>
      <xdr:col>22</xdr:col>
      <xdr:colOff>690768</xdr:colOff>
      <xdr:row>1</xdr:row>
      <xdr:rowOff>71458</xdr:rowOff>
    </xdr:to>
    <xdr:grpSp>
      <xdr:nvGrpSpPr>
        <xdr:cNvPr id="1123" name="Group 1122">
          <a:extLst>
            <a:ext uri="{FF2B5EF4-FFF2-40B4-BE49-F238E27FC236}">
              <a16:creationId xmlns:a16="http://schemas.microsoft.com/office/drawing/2014/main" id="{00000000-0008-0000-0100-000063040000}"/>
            </a:ext>
          </a:extLst>
        </xdr:cNvPr>
        <xdr:cNvGrpSpPr/>
      </xdr:nvGrpSpPr>
      <xdr:grpSpPr>
        <a:xfrm>
          <a:off x="104792" y="19050"/>
          <a:ext cx="10653901" cy="614383"/>
          <a:chOff x="2009775" y="19050"/>
          <a:chExt cx="10648949" cy="690000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2009775" y="19050"/>
            <a:ext cx="10648949" cy="590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600">
                <a:solidFill>
                  <a:schemeClr val="accent1">
                    <a:lumMod val="50000"/>
                  </a:schemeClr>
                </a:solidFill>
                <a:latin typeface="Arial Rounded MT Bold" panose="020F0704030504030204" pitchFamily="34" charset="0"/>
              </a:rPr>
              <a:t>MIDWAVE CHEMIST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1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154741" y="26548"/>
            <a:ext cx="607425" cy="682502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1123650</xdr:colOff>
      <xdr:row>2</xdr:row>
      <xdr:rowOff>18750</xdr:rowOff>
    </xdr:from>
    <xdr:to>
      <xdr:col>9</xdr:col>
      <xdr:colOff>1353146</xdr:colOff>
      <xdr:row>2</xdr:row>
      <xdr:rowOff>201630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5800" y="1123650"/>
          <a:ext cx="229496" cy="182880"/>
        </a:xfrm>
        <a:prstGeom prst="rect">
          <a:avLst/>
        </a:prstGeom>
      </xdr:spPr>
    </xdr:pic>
    <xdr:clientData/>
  </xdr:twoCellAnchor>
  <xdr:twoCellAnchor editAs="oneCell">
    <xdr:from>
      <xdr:col>8</xdr:col>
      <xdr:colOff>740250</xdr:colOff>
      <xdr:row>2</xdr:row>
      <xdr:rowOff>25875</xdr:rowOff>
    </xdr:from>
    <xdr:to>
      <xdr:col>8</xdr:col>
      <xdr:colOff>923130</xdr:colOff>
      <xdr:row>2</xdr:row>
      <xdr:rowOff>208755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900" y="1130775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514350</xdr:colOff>
      <xdr:row>1</xdr:row>
      <xdr:rowOff>200025</xdr:rowOff>
    </xdr:from>
    <xdr:to>
      <xdr:col>15</xdr:col>
      <xdr:colOff>217170</xdr:colOff>
      <xdr:row>1</xdr:row>
      <xdr:rowOff>428625</xdr:rowOff>
    </xdr:to>
    <xdr:grpSp>
      <xdr:nvGrpSpPr>
        <xdr:cNvPr id="1125" name="LoginBtn" hidden="1">
          <a:extLst>
            <a:ext uri="{FF2B5EF4-FFF2-40B4-BE49-F238E27FC236}">
              <a16:creationId xmlns:a16="http://schemas.microsoft.com/office/drawing/2014/main" id="{00000000-0008-0000-0100-000065040000}"/>
            </a:ext>
          </a:extLst>
        </xdr:cNvPr>
        <xdr:cNvGrpSpPr/>
      </xdr:nvGrpSpPr>
      <xdr:grpSpPr>
        <a:xfrm>
          <a:off x="5057775" y="762000"/>
          <a:ext cx="731520" cy="228600"/>
          <a:chOff x="9686925" y="514350"/>
          <a:chExt cx="731520" cy="228600"/>
        </a:xfrm>
      </xdr:grpSpPr>
      <xdr:sp macro="[0]!User_Login" textlink="">
        <xdr:nvSpPr>
          <xdr:cNvPr id="475" name="Rectangle 474" hidden="1">
            <a:extLst>
              <a:ext uri="{FF2B5EF4-FFF2-40B4-BE49-F238E27FC236}">
                <a16:creationId xmlns:a16="http://schemas.microsoft.com/office/drawing/2014/main" id="{00000000-0008-0000-0100-0000DB010000}"/>
              </a:ext>
            </a:extLst>
          </xdr:cNvPr>
          <xdr:cNvSpPr/>
        </xdr:nvSpPr>
        <xdr:spPr>
          <a:xfrm>
            <a:off x="9686925" y="514350"/>
            <a:ext cx="731520" cy="2286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Login</a:t>
            </a:r>
          </a:p>
        </xdr:txBody>
      </xdr:sp>
      <xdr:pic macro="[0]!User_Login">
        <xdr:nvPicPr>
          <xdr:cNvPr id="94" name="Picture 93" hidden="1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67550" y="537825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6</xdr:row>
      <xdr:rowOff>203200</xdr:rowOff>
    </xdr:from>
    <xdr:to>
      <xdr:col>15</xdr:col>
      <xdr:colOff>0</xdr:colOff>
      <xdr:row>13</xdr:row>
      <xdr:rowOff>121285</xdr:rowOff>
    </xdr:to>
    <xdr:grpSp>
      <xdr:nvGrpSpPr>
        <xdr:cNvPr id="1121" name="FooterGrp">
          <a:extLst>
            <a:ext uri="{FF2B5EF4-FFF2-40B4-BE49-F238E27FC236}">
              <a16:creationId xmlns:a16="http://schemas.microsoft.com/office/drawing/2014/main" id="{00000000-0008-0000-0100-000061040000}"/>
            </a:ext>
          </a:extLst>
        </xdr:cNvPr>
        <xdr:cNvGrpSpPr/>
      </xdr:nvGrpSpPr>
      <xdr:grpSpPr>
        <a:xfrm>
          <a:off x="161925" y="2222500"/>
          <a:ext cx="5410200" cy="1518285"/>
          <a:chOff x="4810125" y="3409950"/>
          <a:chExt cx="5429250" cy="151828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4819650" y="3409950"/>
            <a:ext cx="5419725" cy="1143000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 txBox="1"/>
        </xdr:nvSpPr>
        <xdr:spPr>
          <a:xfrm>
            <a:off x="8543924" y="3419475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Sub-Total:</a:t>
            </a:r>
          </a:p>
        </xdr:txBody>
      </xdr:sp>
      <xdr:sp macro="" textlink="$A$14">
        <xdr:nvSpPr>
          <xdr:cNvPr id="442" name="TextBox 441">
            <a:extLst>
              <a:ext uri="{FF2B5EF4-FFF2-40B4-BE49-F238E27FC236}">
                <a16:creationId xmlns:a16="http://schemas.microsoft.com/office/drawing/2014/main" id="{00000000-0008-0000-0100-0000BA010000}"/>
              </a:ext>
            </a:extLst>
          </xdr:cNvPr>
          <xdr:cNvSpPr txBox="1"/>
        </xdr:nvSpPr>
        <xdr:spPr>
          <a:xfrm>
            <a:off x="85439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144D164F-808F-4F81-B4EE-D2332D64D68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Tax(8.25%):</a:t>
            </a:fld>
            <a:endParaRPr lang="en-US" sz="1100"/>
          </a:p>
        </xdr:txBody>
      </xdr:sp>
      <xdr:sp macro="" textlink="$B$13">
        <xdr:nvSpPr>
          <xdr:cNvPr id="443" name="TextBox 442">
            <a:extLst>
              <a:ext uri="{FF2B5EF4-FFF2-40B4-BE49-F238E27FC236}">
                <a16:creationId xmlns:a16="http://schemas.microsoft.com/office/drawing/2014/main" id="{00000000-0008-0000-0100-0000BB010000}"/>
              </a:ext>
            </a:extLst>
          </xdr:cNvPr>
          <xdr:cNvSpPr txBox="1"/>
        </xdr:nvSpPr>
        <xdr:spPr>
          <a:xfrm>
            <a:off x="9458324" y="3419475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3C0F0FDF-0CB4-4BA1-ADF9-44D49680CA2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$-   </a:t>
            </a:fld>
            <a:endParaRPr lang="en-US" sz="1100"/>
          </a:p>
        </xdr:txBody>
      </xdr:sp>
      <xdr:sp macro="" textlink="$B$14">
        <xdr:nvSpPr>
          <xdr:cNvPr id="444" name="TextBox 443">
            <a:extLst>
              <a:ext uri="{FF2B5EF4-FFF2-40B4-BE49-F238E27FC236}">
                <a16:creationId xmlns:a16="http://schemas.microsoft.com/office/drawing/2014/main" id="{00000000-0008-0000-0100-0000BC010000}"/>
              </a:ext>
            </a:extLst>
          </xdr:cNvPr>
          <xdr:cNvSpPr txBox="1"/>
        </xdr:nvSpPr>
        <xdr:spPr>
          <a:xfrm>
            <a:off x="9458324" y="36385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7C9BF381-64B2-4296-8524-B6851C4F7B0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$-   </a:t>
            </a:fld>
            <a:endParaRPr lang="en-US" sz="1100"/>
          </a:p>
        </xdr:txBody>
      </xdr: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00000000-0008-0000-0100-0000BD010000}"/>
              </a:ext>
            </a:extLst>
          </xdr:cNvPr>
          <xdr:cNvSpPr txBox="1"/>
        </xdr:nvSpPr>
        <xdr:spPr>
          <a:xfrm>
            <a:off x="85439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1" u="sng"/>
              <a:t>Total:</a:t>
            </a:r>
          </a:p>
        </xdr:txBody>
      </xdr:sp>
      <xdr:sp macro="" textlink="$B$15">
        <xdr:nvSpPr>
          <xdr:cNvPr id="446" name="TextBox 445">
            <a:extLst>
              <a:ext uri="{FF2B5EF4-FFF2-40B4-BE49-F238E27FC236}">
                <a16:creationId xmlns:a16="http://schemas.microsoft.com/office/drawing/2014/main" id="{00000000-0008-0000-0100-0000BE010000}"/>
              </a:ext>
            </a:extLst>
          </xdr:cNvPr>
          <xdr:cNvSpPr txBox="1"/>
        </xdr:nvSpPr>
        <xdr:spPr>
          <a:xfrm>
            <a:off x="9458324" y="38671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E37C8B0D-30CB-4D5B-974F-0A1F0C9B79B0}" type="TxLink">
              <a:rPr lang="en-US" sz="1100" b="1" i="0" u="sng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$-   </a:t>
            </a:fld>
            <a:endParaRPr lang="en-US" sz="1100" b="1" u="sng"/>
          </a:p>
        </xdr:txBody>
      </xdr:sp>
      <xdr:sp macro="" textlink="$B$16">
        <xdr:nvSpPr>
          <xdr:cNvPr id="447" name="TextBox 446">
            <a:extLst>
              <a:ext uri="{FF2B5EF4-FFF2-40B4-BE49-F238E27FC236}">
                <a16:creationId xmlns:a16="http://schemas.microsoft.com/office/drawing/2014/main" id="{00000000-0008-0000-0100-0000BF010000}"/>
              </a:ext>
            </a:extLst>
          </xdr:cNvPr>
          <xdr:cNvSpPr txBox="1"/>
        </xdr:nvSpPr>
        <xdr:spPr>
          <a:xfrm>
            <a:off x="9458324" y="40957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57D45DD0-E509-42FC-BB59-BF1EC16A6F2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/>
          </a:p>
        </xdr:txBody>
      </xdr:sp>
      <xdr:sp macro="" textlink="$B$17">
        <xdr:nvSpPr>
          <xdr:cNvPr id="448" name="TextBox 447">
            <a:extLst>
              <a:ext uri="{FF2B5EF4-FFF2-40B4-BE49-F238E27FC236}">
                <a16:creationId xmlns:a16="http://schemas.microsoft.com/office/drawing/2014/main" id="{00000000-0008-0000-0100-0000C0010000}"/>
              </a:ext>
            </a:extLst>
          </xdr:cNvPr>
          <xdr:cNvSpPr txBox="1"/>
        </xdr:nvSpPr>
        <xdr:spPr>
          <a:xfrm>
            <a:off x="9458324" y="43243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417A14C4-FB9F-4623-9DE3-9EFC248C0E3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1100"/>
          </a:p>
        </xdr:txBody>
      </xdr:sp>
      <xdr:sp macro="" textlink="">
        <xdr:nvSpPr>
          <xdr:cNvPr id="449" name="TextBox 448">
            <a:extLst>
              <a:ext uri="{FF2B5EF4-FFF2-40B4-BE49-F238E27FC236}">
                <a16:creationId xmlns:a16="http://schemas.microsoft.com/office/drawing/2014/main" id="{00000000-0008-0000-0100-0000C1010000}"/>
              </a:ext>
            </a:extLst>
          </xdr:cNvPr>
          <xdr:cNvSpPr txBox="1"/>
        </xdr:nvSpPr>
        <xdr:spPr>
          <a:xfrm>
            <a:off x="85439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Total</a:t>
            </a:r>
            <a:r>
              <a:rPr lang="en-US" sz="1100" baseline="0"/>
              <a:t> Paid:</a:t>
            </a:r>
            <a:endParaRPr lang="en-US" sz="1100"/>
          </a:p>
        </xdr:txBody>
      </xdr: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00000000-0008-0000-0100-0000C2010000}"/>
              </a:ext>
            </a:extLst>
          </xdr:cNvPr>
          <xdr:cNvSpPr txBox="1"/>
        </xdr:nvSpPr>
        <xdr:spPr>
          <a:xfrm>
            <a:off x="8543924" y="43243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/>
              <a:t>Change:</a:t>
            </a:r>
          </a:p>
        </xdr:txBody>
      </xdr:sp>
      <xdr:sp macro="" textlink="FooterMsg">
        <xdr:nvSpPr>
          <xdr:cNvPr id="451" name="TextBox 450">
            <a:extLst>
              <a:ext uri="{FF2B5EF4-FFF2-40B4-BE49-F238E27FC236}">
                <a16:creationId xmlns:a16="http://schemas.microsoft.com/office/drawing/2014/main" id="{00000000-0008-0000-0100-0000C3010000}"/>
              </a:ext>
            </a:extLst>
          </xdr:cNvPr>
          <xdr:cNvSpPr txBox="1"/>
        </xdr:nvSpPr>
        <xdr:spPr>
          <a:xfrm>
            <a:off x="4829175" y="3419475"/>
            <a:ext cx="37338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40C393DF-9D1E-4383-BFEA-CC1E905E735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Thank You For Your Business</a:t>
            </a:fld>
            <a:endParaRPr lang="en-US" sz="1100" b="1"/>
          </a:p>
        </xdr:txBody>
      </xdr:sp>
      <xdr:sp macro="" textlink="">
        <xdr:nvSpPr>
          <xdr:cNvPr id="452" name="TextBox 451">
            <a:extLst>
              <a:ext uri="{FF2B5EF4-FFF2-40B4-BE49-F238E27FC236}">
                <a16:creationId xmlns:a16="http://schemas.microsoft.com/office/drawing/2014/main" id="{00000000-0008-0000-0100-0000C4010000}"/>
              </a:ext>
            </a:extLst>
          </xdr:cNvPr>
          <xdr:cNvSpPr txBox="1"/>
        </xdr:nvSpPr>
        <xdr:spPr>
          <a:xfrm>
            <a:off x="4829175" y="3638550"/>
            <a:ext cx="1600199" cy="9143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t"/>
          <a:lstStyle/>
          <a:p>
            <a:pPr algn="l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Midwave</a:t>
            </a:r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Chemist</a:t>
            </a:r>
            <a:b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</a:br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P.O.</a:t>
            </a:r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BOX 65,</a:t>
            </a:r>
          </a:p>
          <a:p>
            <a:pPr algn="l"/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KAPSOWAR.</a:t>
            </a:r>
          </a:p>
          <a:p>
            <a:pPr algn="l"/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0703 105 643</a:t>
            </a:r>
          </a:p>
          <a:p>
            <a:pPr algn="l"/>
            <a:r>
              <a: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jokikijonathan@gmail.com</a:t>
            </a:r>
          </a:p>
        </xdr:txBody>
      </xdr:sp>
      <xdr:sp macro="" textlink="">
        <xdr:nvSpPr>
          <xdr:cNvPr id="453" name="TextBox 452">
            <a:extLst>
              <a:ext uri="{FF2B5EF4-FFF2-40B4-BE49-F238E27FC236}">
                <a16:creationId xmlns:a16="http://schemas.microsoft.com/office/drawing/2014/main" id="{00000000-0008-0000-0100-0000C5010000}"/>
              </a:ext>
            </a:extLst>
          </xdr:cNvPr>
          <xdr:cNvSpPr txBox="1"/>
        </xdr:nvSpPr>
        <xdr:spPr>
          <a:xfrm>
            <a:off x="64103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Receipt #:</a:t>
            </a:r>
          </a:p>
        </xdr:txBody>
      </xdr:sp>
      <xdr:sp macro="" textlink="">
        <xdr:nvSpPr>
          <xdr:cNvPr id="454" name="TextBox 453">
            <a:extLst>
              <a:ext uri="{FF2B5EF4-FFF2-40B4-BE49-F238E27FC236}">
                <a16:creationId xmlns:a16="http://schemas.microsoft.com/office/drawing/2014/main" id="{00000000-0008-0000-0100-0000C6010000}"/>
              </a:ext>
            </a:extLst>
          </xdr:cNvPr>
          <xdr:cNvSpPr txBox="1"/>
        </xdr:nvSpPr>
        <xdr:spPr>
          <a:xfrm>
            <a:off x="64103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Order On:</a:t>
            </a:r>
          </a:p>
        </xdr:txBody>
      </xdr: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00000000-0008-0000-0100-0000C7010000}"/>
              </a:ext>
            </a:extLst>
          </xdr:cNvPr>
          <xdr:cNvSpPr txBox="1"/>
        </xdr:nvSpPr>
        <xdr:spPr>
          <a:xfrm>
            <a:off x="64103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t>Cashier:</a:t>
            </a:r>
          </a:p>
        </xdr:txBody>
      </xdr:sp>
      <xdr:sp macro="" textlink="$P$4">
        <xdr:nvSpPr>
          <xdr:cNvPr id="456" name="TextBox 455">
            <a:extLst>
              <a:ext uri="{FF2B5EF4-FFF2-40B4-BE49-F238E27FC236}">
                <a16:creationId xmlns:a16="http://schemas.microsoft.com/office/drawing/2014/main" id="{00000000-0008-0000-0100-0000C8010000}"/>
              </a:ext>
            </a:extLst>
          </xdr:cNvPr>
          <xdr:cNvSpPr txBox="1"/>
        </xdr:nvSpPr>
        <xdr:spPr>
          <a:xfrm>
            <a:off x="6410323" y="4324350"/>
            <a:ext cx="21336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ctr"/>
            <a:fld id="{B95C4A47-CDA1-4698-A444-9F17FAF693D2}" type="TxLink">
              <a:rPr lang="en-US" sz="20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10004</a:t>
            </a:fld>
            <a:endParaRPr lang="en-US" sz="2000" b="0" i="0" u="none" strike="noStrike">
              <a:solidFill>
                <a:srgbClr val="000000"/>
              </a:solidFill>
              <a:latin typeface="Code 128" panose="05000000000000000000" pitchFamily="2" charset="2"/>
              <a:cs typeface="Calibri"/>
            </a:endParaRPr>
          </a:p>
        </xdr:txBody>
      </xdr:sp>
      <xdr:sp macro="" textlink="$P$4">
        <xdr:nvSpPr>
          <xdr:cNvPr id="457" name="TextBox 456">
            <a:extLst>
              <a:ext uri="{FF2B5EF4-FFF2-40B4-BE49-F238E27FC236}">
                <a16:creationId xmlns:a16="http://schemas.microsoft.com/office/drawing/2014/main" id="{00000000-0008-0000-0100-0000C9010000}"/>
              </a:ext>
            </a:extLst>
          </xdr:cNvPr>
          <xdr:cNvSpPr txBox="1"/>
        </xdr:nvSpPr>
        <xdr:spPr>
          <a:xfrm>
            <a:off x="7324723" y="36385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BD487BF1-B379-4C8F-BF33-5F609E31131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10004</a:t>
            </a:fld>
            <a:endParaRPr lang="en-US" sz="1100"/>
          </a:p>
        </xdr:txBody>
      </xdr:sp>
      <xdr:sp macro="" textlink="$L$4">
        <xdr:nvSpPr>
          <xdr:cNvPr id="458" name="TextBox 457">
            <a:extLst>
              <a:ext uri="{FF2B5EF4-FFF2-40B4-BE49-F238E27FC236}">
                <a16:creationId xmlns:a16="http://schemas.microsoft.com/office/drawing/2014/main" id="{00000000-0008-0000-0100-0000CA010000}"/>
              </a:ext>
            </a:extLst>
          </xdr:cNvPr>
          <xdr:cNvSpPr txBox="1"/>
        </xdr:nvSpPr>
        <xdr:spPr>
          <a:xfrm>
            <a:off x="7324723" y="38671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7D009322-0A9A-4CF1-8449-13286B4C033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5/5/22 12:09 AM</a:t>
            </a:fld>
            <a:endParaRPr lang="en-US" sz="1100"/>
          </a:p>
        </xdr:txBody>
      </xdr:sp>
      <xdr:sp macro="" textlink="$L$3">
        <xdr:nvSpPr>
          <xdr:cNvPr id="459" name="TextBox 458">
            <a:extLst>
              <a:ext uri="{FF2B5EF4-FFF2-40B4-BE49-F238E27FC236}">
                <a16:creationId xmlns:a16="http://schemas.microsoft.com/office/drawing/2014/main" id="{00000000-0008-0000-0100-0000CB010000}"/>
              </a:ext>
            </a:extLst>
          </xdr:cNvPr>
          <xdr:cNvSpPr txBox="1"/>
        </xdr:nvSpPr>
        <xdr:spPr>
          <a:xfrm>
            <a:off x="7324723" y="40957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D4670101-97DE-4A19-9078-B678BEF78DE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Jonah</a:t>
            </a:fld>
            <a:endParaRPr lang="en-US" sz="1100"/>
          </a:p>
        </xdr:txBody>
      </xdr:sp>
      <xdr:grpSp>
        <xdr:nvGrpSpPr>
          <xdr:cNvPr id="1052" name="Group 1051">
            <a:extLst>
              <a:ext uri="{FF2B5EF4-FFF2-40B4-BE49-F238E27FC236}">
                <a16:creationId xmlns:a16="http://schemas.microsoft.com/office/drawing/2014/main" id="{00000000-0008-0000-0100-00001C040000}"/>
              </a:ext>
            </a:extLst>
          </xdr:cNvPr>
          <xdr:cNvGrpSpPr/>
        </xdr:nvGrpSpPr>
        <xdr:grpSpPr>
          <a:xfrm>
            <a:off x="5687567" y="4562475"/>
            <a:ext cx="777240" cy="365760"/>
            <a:chOff x="5687567" y="4562475"/>
            <a:chExt cx="777240" cy="365760"/>
          </a:xfrm>
        </xdr:grpSpPr>
        <xdr:sp macro="[0]!Order_Pay" textlink="">
          <xdr:nvSpPr>
            <xdr:cNvPr id="468" name="Rectangle 467">
              <a:extLst>
                <a:ext uri="{FF2B5EF4-FFF2-40B4-BE49-F238E27FC236}">
                  <a16:creationId xmlns:a16="http://schemas.microsoft.com/office/drawing/2014/main" id="{00000000-0008-0000-0100-0000D4010000}"/>
                </a:ext>
              </a:extLst>
            </xdr:cNvPr>
            <xdr:cNvSpPr/>
          </xdr:nvSpPr>
          <xdr:spPr>
            <a:xfrm>
              <a:off x="5687567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Pay</a:t>
              </a:r>
            </a:p>
          </xdr:txBody>
        </xdr:sp>
        <xdr:pic macro="[0]!Order_Pa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77200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3" name="Group 1052">
            <a:extLst>
              <a:ext uri="{FF2B5EF4-FFF2-40B4-BE49-F238E27FC236}">
                <a16:creationId xmlns:a16="http://schemas.microsoft.com/office/drawing/2014/main" id="{00000000-0008-0000-0100-00001D040000}"/>
              </a:ext>
            </a:extLst>
          </xdr:cNvPr>
          <xdr:cNvGrpSpPr/>
        </xdr:nvGrpSpPr>
        <xdr:grpSpPr>
          <a:xfrm>
            <a:off x="6565009" y="4562475"/>
            <a:ext cx="777240" cy="365760"/>
            <a:chOff x="6565009" y="4562475"/>
            <a:chExt cx="777240" cy="365760"/>
          </a:xfrm>
        </xdr:grpSpPr>
        <xdr:sp macro="[0]!Order_Print" textlink="">
          <xdr:nvSpPr>
            <xdr:cNvPr id="469" name="Rectangle 468">
              <a:extLst>
                <a:ext uri="{FF2B5EF4-FFF2-40B4-BE49-F238E27FC236}">
                  <a16:creationId xmlns:a16="http://schemas.microsoft.com/office/drawing/2014/main" id="{00000000-0008-0000-0100-0000D5010000}"/>
                </a:ext>
              </a:extLst>
            </xdr:cNvPr>
            <xdr:cNvSpPr/>
          </xdr:nvSpPr>
          <xdr:spPr>
            <a:xfrm>
              <a:off x="6565009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Print</a:t>
              </a:r>
            </a:p>
          </xdr:txBody>
        </xdr:sp>
        <xdr:pic macro="[0]!Order_Print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0060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1" name="Group 1050">
            <a:extLst>
              <a:ext uri="{FF2B5EF4-FFF2-40B4-BE49-F238E27FC236}">
                <a16:creationId xmlns:a16="http://schemas.microsoft.com/office/drawing/2014/main" id="{00000000-0008-0000-0100-00001B040000}"/>
              </a:ext>
            </a:extLst>
          </xdr:cNvPr>
          <xdr:cNvGrpSpPr/>
        </xdr:nvGrpSpPr>
        <xdr:grpSpPr>
          <a:xfrm>
            <a:off x="4810125" y="4562475"/>
            <a:ext cx="777240" cy="365760"/>
            <a:chOff x="4810125" y="4562475"/>
            <a:chExt cx="777240" cy="365760"/>
          </a:xfrm>
        </xdr:grpSpPr>
        <xdr:sp macro="[0]!Order_Clear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/>
          </xdr:nvSpPr>
          <xdr:spPr>
            <a:xfrm>
              <a:off x="4810125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Clear</a:t>
              </a:r>
            </a:p>
          </xdr:txBody>
        </xdr:sp>
        <xdr:pic macro="[0]!Order_Clear">
          <xdr:nvPicPr>
            <xdr:cNvPr id="89" name="Picture 88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45600" y="4649175"/>
              <a:ext cx="176022" cy="201168"/>
            </a:xfrm>
            <a:prstGeom prst="rect">
              <a:avLst/>
            </a:prstGeom>
          </xdr:spPr>
        </xdr:pic>
      </xdr:grpSp>
      <xdr:grpSp>
        <xdr:nvGrpSpPr>
          <xdr:cNvPr id="1054" name="Group 1053">
            <a:extLst>
              <a:ext uri="{FF2B5EF4-FFF2-40B4-BE49-F238E27FC236}">
                <a16:creationId xmlns:a16="http://schemas.microsoft.com/office/drawing/2014/main" id="{00000000-0008-0000-0100-00001E040000}"/>
              </a:ext>
            </a:extLst>
          </xdr:cNvPr>
          <xdr:cNvGrpSpPr/>
        </xdr:nvGrpSpPr>
        <xdr:grpSpPr>
          <a:xfrm>
            <a:off x="7442451" y="4562475"/>
            <a:ext cx="1028701" cy="365760"/>
            <a:chOff x="7442451" y="4562475"/>
            <a:chExt cx="1028701" cy="365760"/>
          </a:xfrm>
        </xdr:grpSpPr>
        <xdr:sp macro="[0]!Order_Refund" textlink="">
          <xdr:nvSpPr>
            <xdr:cNvPr id="470" name="Rectangle 469">
              <a:extLst>
                <a:ext uri="{FF2B5EF4-FFF2-40B4-BE49-F238E27FC236}">
                  <a16:creationId xmlns:a16="http://schemas.microsoft.com/office/drawing/2014/main" id="{00000000-0008-0000-0100-0000D6010000}"/>
                </a:ext>
              </a:extLst>
            </xdr:cNvPr>
            <xdr:cNvSpPr/>
          </xdr:nvSpPr>
          <xdr:spPr>
            <a:xfrm>
              <a:off x="7442451" y="4562475"/>
              <a:ext cx="1028701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Refund</a:t>
              </a:r>
            </a:p>
          </xdr:txBody>
        </xdr:sp>
        <xdr:pic macro="[0]!Order_Refund">
          <xdr:nvPicPr>
            <xdr:cNvPr id="90" name="Picture 89">
              <a:extLst>
                <a:ext uri="{FF2B5EF4-FFF2-40B4-BE49-F238E27FC236}">
                  <a16:creationId xmlns:a16="http://schemas.microsoft.com/office/drawing/2014/main" id="{00000000-0008-0000-0100-00005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49115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120" name="Group 1119">
            <a:extLst>
              <a:ext uri="{FF2B5EF4-FFF2-40B4-BE49-F238E27FC236}">
                <a16:creationId xmlns:a16="http://schemas.microsoft.com/office/drawing/2014/main" id="{00000000-0008-0000-0100-000060040000}"/>
              </a:ext>
            </a:extLst>
          </xdr:cNvPr>
          <xdr:cNvGrpSpPr/>
        </xdr:nvGrpSpPr>
        <xdr:grpSpPr>
          <a:xfrm>
            <a:off x="9448797" y="4562475"/>
            <a:ext cx="777240" cy="365760"/>
            <a:chOff x="9448797" y="4562475"/>
            <a:chExt cx="777240" cy="365760"/>
          </a:xfrm>
        </xdr:grpSpPr>
        <xdr:sp macro="[0]!Order_SaveUpdate" textlink="">
          <xdr:nvSpPr>
            <xdr:cNvPr id="472" name="Rectangle 471">
              <a:extLst>
                <a:ext uri="{FF2B5EF4-FFF2-40B4-BE49-F238E27FC236}">
                  <a16:creationId xmlns:a16="http://schemas.microsoft.com/office/drawing/2014/main" id="{00000000-0008-0000-0100-0000D8010000}"/>
                </a:ext>
              </a:extLst>
            </xdr:cNvPr>
            <xdr:cNvSpPr/>
          </xdr:nvSpPr>
          <xdr:spPr>
            <a:xfrm>
              <a:off x="9448797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Next</a:t>
              </a:r>
            </a:p>
          </xdr:txBody>
        </xdr:sp>
        <xdr:pic macro="[0]!Order_SaveUpdate"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01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0805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5" name="Group 1054">
            <a:extLst>
              <a:ext uri="{FF2B5EF4-FFF2-40B4-BE49-F238E27FC236}">
                <a16:creationId xmlns:a16="http://schemas.microsoft.com/office/drawing/2014/main" id="{00000000-0008-0000-0100-00001F040000}"/>
              </a:ext>
            </a:extLst>
          </xdr:cNvPr>
          <xdr:cNvGrpSpPr/>
        </xdr:nvGrpSpPr>
        <xdr:grpSpPr>
          <a:xfrm>
            <a:off x="8571354" y="4562475"/>
            <a:ext cx="777240" cy="365760"/>
            <a:chOff x="8571354" y="4562475"/>
            <a:chExt cx="777240" cy="365760"/>
          </a:xfrm>
        </xdr:grpSpPr>
        <xdr:sp macro="[0]!Order_Void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100-0000D7010000}"/>
                </a:ext>
              </a:extLst>
            </xdr:cNvPr>
            <xdr:cNvSpPr/>
          </xdr:nvSpPr>
          <xdr:spPr>
            <a:xfrm>
              <a:off x="8571354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/>
                <a:t>Void</a:t>
              </a:r>
            </a:p>
          </xdr:txBody>
        </xdr:sp>
        <xdr:pic macro="[0]!Order_Void">
          <xdr:nvPicPr>
            <xdr:cNvPr id="95" name="Picture 94">
              <a:extLst>
                <a:ext uri="{FF2B5EF4-FFF2-40B4-BE49-F238E27FC236}">
                  <a16:creationId xmlns:a16="http://schemas.microsoft.com/office/drawing/2014/main" id="{00000000-0008-0000-01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622150" y="46491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1123949</xdr:colOff>
      <xdr:row>1</xdr:row>
      <xdr:rowOff>161925</xdr:rowOff>
    </xdr:from>
    <xdr:to>
      <xdr:col>9</xdr:col>
      <xdr:colOff>171451</xdr:colOff>
      <xdr:row>1</xdr:row>
      <xdr:rowOff>504825</xdr:rowOff>
    </xdr:to>
    <xdr:grpSp>
      <xdr:nvGrpSpPr>
        <xdr:cNvPr id="1122" name="ClearResultBtn" hidden="1">
          <a:extLst>
            <a:ext uri="{FF2B5EF4-FFF2-40B4-BE49-F238E27FC236}">
              <a16:creationId xmlns:a16="http://schemas.microsoft.com/office/drawing/2014/main" id="{00000000-0008-0000-0100-000062040000}"/>
            </a:ext>
          </a:extLst>
        </xdr:cNvPr>
        <xdr:cNvGrpSpPr/>
      </xdr:nvGrpSpPr>
      <xdr:grpSpPr>
        <a:xfrm>
          <a:off x="161925" y="723900"/>
          <a:ext cx="1123951" cy="342900"/>
          <a:chOff x="3190874" y="723900"/>
          <a:chExt cx="1123951" cy="342900"/>
        </a:xfrm>
      </xdr:grpSpPr>
      <xdr:sp macro="[0]!Orders_ClearFilter" textlink="">
        <xdr:nvSpPr>
          <xdr:cNvPr id="66" name="Right Arrow 65" hidden="1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3190874" y="723900"/>
            <a:ext cx="1123951" cy="342900"/>
          </a:xfrm>
          <a:prstGeom prst="rightArrow">
            <a:avLst>
              <a:gd name="adj1" fmla="val 66667"/>
              <a:gd name="adj2" fmla="val 50000"/>
            </a:avLst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lIns="18288" tIns="0" rIns="18288" bIns="0" rtlCol="0" anchor="ctr"/>
          <a:lstStyle/>
          <a:p>
            <a:pPr algn="r"/>
            <a:r>
              <a:rPr lang="en-US" sz="1100"/>
              <a:t>Clear Results</a:t>
            </a:r>
          </a:p>
        </xdr:txBody>
      </xdr:sp>
      <xdr:pic macro="[0]!Orders_ClearFilter">
        <xdr:nvPicPr>
          <xdr:cNvPr id="496" name="Picture 495" hidden="1">
            <a:extLst>
              <a:ext uri="{FF2B5EF4-FFF2-40B4-BE49-F238E27FC236}">
                <a16:creationId xmlns:a16="http://schemas.microsoft.com/office/drawing/2014/main" id="{00000000-0008-0000-0100-0000F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5400" y="803910"/>
            <a:ext cx="160020" cy="18288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190500</xdr:colOff>
      <xdr:row>0</xdr:row>
      <xdr:rowOff>533398</xdr:rowOff>
    </xdr:from>
    <xdr:to>
      <xdr:col>0</xdr:col>
      <xdr:colOff>876300</xdr:colOff>
      <xdr:row>1</xdr:row>
      <xdr:rowOff>337183</xdr:rowOff>
    </xdr:to>
    <xdr:sp macro="" textlink="">
      <xdr:nvSpPr>
        <xdr:cNvPr id="516" name="SampleProdShp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190500" y="533398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Sample</a:t>
          </a:r>
          <a:r>
            <a:rPr lang="en-US" sz="1100" b="0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Product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495298</xdr:colOff>
      <xdr:row>3</xdr:row>
      <xdr:rowOff>138112</xdr:rowOff>
    </xdr:from>
    <xdr:to>
      <xdr:col>20</xdr:col>
      <xdr:colOff>628648</xdr:colOff>
      <xdr:row>5</xdr:row>
      <xdr:rowOff>46672</xdr:rowOff>
    </xdr:to>
    <xdr:sp macro="[0]!POS_LoadProducts" textlink="">
      <xdr:nvSpPr>
        <xdr:cNvPr id="1135" name="Subcategory1">
          <a:extLst>
            <a:ext uri="{FF2B5EF4-FFF2-40B4-BE49-F238E27FC236}">
              <a16:creationId xmlns:a16="http://schemas.microsoft.com/office/drawing/2014/main" id="{00000000-0008-0000-0100-00006F040000}"/>
            </a:ext>
          </a:extLst>
        </xdr:cNvPr>
        <xdr:cNvSpPr/>
      </xdr:nvSpPr>
      <xdr:spPr>
        <a:xfrm>
          <a:off x="10125073" y="1471612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Pain killers</a:t>
          </a:r>
        </a:p>
      </xdr:txBody>
    </xdr:sp>
    <xdr:clientData/>
  </xdr:twoCellAnchor>
  <xdr:twoCellAnchor>
    <xdr:from>
      <xdr:col>20</xdr:col>
      <xdr:colOff>735804</xdr:colOff>
      <xdr:row>3</xdr:row>
      <xdr:rowOff>138112</xdr:rowOff>
    </xdr:from>
    <xdr:to>
      <xdr:col>22</xdr:col>
      <xdr:colOff>88104</xdr:colOff>
      <xdr:row>5</xdr:row>
      <xdr:rowOff>46672</xdr:rowOff>
    </xdr:to>
    <xdr:sp macro="[0]!POS_LoadProducts" textlink="">
      <xdr:nvSpPr>
        <xdr:cNvPr id="751" name="Subcategory2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SpPr/>
      </xdr:nvSpPr>
      <xdr:spPr>
        <a:xfrm>
          <a:off x="11146629" y="1471612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Antibiotics</a:t>
          </a:r>
        </a:p>
      </xdr:txBody>
    </xdr:sp>
    <xdr:clientData/>
  </xdr:twoCellAnchor>
  <xdr:twoCellAnchor>
    <xdr:from>
      <xdr:col>22</xdr:col>
      <xdr:colOff>195261</xdr:colOff>
      <xdr:row>3</xdr:row>
      <xdr:rowOff>138112</xdr:rowOff>
    </xdr:from>
    <xdr:to>
      <xdr:col>23</xdr:col>
      <xdr:colOff>328611</xdr:colOff>
      <xdr:row>5</xdr:row>
      <xdr:rowOff>46672</xdr:rowOff>
    </xdr:to>
    <xdr:sp macro="[0]!POS_LoadProducts" textlink="">
      <xdr:nvSpPr>
        <xdr:cNvPr id="752" name="Subcategory3">
          <a:extLs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SpPr/>
      </xdr:nvSpPr>
      <xdr:spPr>
        <a:xfrm>
          <a:off x="12168186" y="1471612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Cough drops</a:t>
          </a:r>
        </a:p>
      </xdr:txBody>
    </xdr:sp>
    <xdr:clientData/>
  </xdr:twoCellAnchor>
  <xdr:twoCellAnchor>
    <xdr:from>
      <xdr:col>18</xdr:col>
      <xdr:colOff>254792</xdr:colOff>
      <xdr:row>3</xdr:row>
      <xdr:rowOff>138112</xdr:rowOff>
    </xdr:from>
    <xdr:to>
      <xdr:col>19</xdr:col>
      <xdr:colOff>388142</xdr:colOff>
      <xdr:row>5</xdr:row>
      <xdr:rowOff>46672</xdr:rowOff>
    </xdr:to>
    <xdr:sp macro="[0]!POS_LoadProducts" textlink="">
      <xdr:nvSpPr>
        <xdr:cNvPr id="753" name="Subcategory4">
          <a:extLs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SpPr/>
      </xdr:nvSpPr>
      <xdr:spPr>
        <a:xfrm>
          <a:off x="9103517" y="1471612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DM</a:t>
          </a:r>
        </a:p>
      </xdr:txBody>
    </xdr:sp>
    <xdr:clientData/>
  </xdr:twoCellAnchor>
  <xdr:twoCellAnchor>
    <xdr:from>
      <xdr:col>17</xdr:col>
      <xdr:colOff>14286</xdr:colOff>
      <xdr:row>3</xdr:row>
      <xdr:rowOff>138112</xdr:rowOff>
    </xdr:from>
    <xdr:to>
      <xdr:col>18</xdr:col>
      <xdr:colOff>147636</xdr:colOff>
      <xdr:row>5</xdr:row>
      <xdr:rowOff>46672</xdr:rowOff>
    </xdr:to>
    <xdr:sp macro="[0]!POS_LoadProducts" textlink="">
      <xdr:nvSpPr>
        <xdr:cNvPr id="754" name="Subcategory5">
          <a:extLs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SpPr/>
      </xdr:nvSpPr>
      <xdr:spPr>
        <a:xfrm>
          <a:off x="8081961" y="1471612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HTN</a:t>
          </a:r>
        </a:p>
      </xdr:txBody>
    </xdr:sp>
    <xdr:clientData/>
  </xdr:twoCellAnchor>
  <xdr:twoCellAnchor>
    <xdr:from>
      <xdr:col>17</xdr:col>
      <xdr:colOff>9525</xdr:colOff>
      <xdr:row>5</xdr:row>
      <xdr:rowOff>200025</xdr:rowOff>
    </xdr:from>
    <xdr:to>
      <xdr:col>18</xdr:col>
      <xdr:colOff>142875</xdr:colOff>
      <xdr:row>7</xdr:row>
      <xdr:rowOff>108585</xdr:rowOff>
    </xdr:to>
    <xdr:sp macro="[0]!POS_LoadProducts" textlink="">
      <xdr:nvSpPr>
        <xdr:cNvPr id="826" name="Subcategory7">
          <a:extLs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SpPr/>
      </xdr:nvSpPr>
      <xdr:spPr>
        <a:xfrm>
          <a:off x="8077200" y="1990725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252412</xdr:colOff>
      <xdr:row>5</xdr:row>
      <xdr:rowOff>200025</xdr:rowOff>
    </xdr:from>
    <xdr:to>
      <xdr:col>19</xdr:col>
      <xdr:colOff>385762</xdr:colOff>
      <xdr:row>7</xdr:row>
      <xdr:rowOff>108585</xdr:rowOff>
    </xdr:to>
    <xdr:sp macro="[0]!POS_LoadProducts" textlink="">
      <xdr:nvSpPr>
        <xdr:cNvPr id="827" name="Subcategory8">
          <a:extLs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SpPr/>
      </xdr:nvSpPr>
      <xdr:spPr>
        <a:xfrm>
          <a:off x="9101137" y="1990725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endParaRPr lang="en-US" sz="1100"/>
        </a:p>
      </xdr:txBody>
    </xdr:sp>
    <xdr:clientData/>
  </xdr:twoCellAnchor>
  <xdr:twoCellAnchor>
    <xdr:from>
      <xdr:col>19</xdr:col>
      <xdr:colOff>495299</xdr:colOff>
      <xdr:row>5</xdr:row>
      <xdr:rowOff>200025</xdr:rowOff>
    </xdr:from>
    <xdr:to>
      <xdr:col>20</xdr:col>
      <xdr:colOff>628649</xdr:colOff>
      <xdr:row>7</xdr:row>
      <xdr:rowOff>108585</xdr:rowOff>
    </xdr:to>
    <xdr:sp macro="[0]!POS_LoadProducts" textlink="">
      <xdr:nvSpPr>
        <xdr:cNvPr id="828" name="Subcategory9">
          <a:extLs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SpPr/>
      </xdr:nvSpPr>
      <xdr:spPr>
        <a:xfrm>
          <a:off x="10125074" y="1990725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endParaRPr lang="en-US" sz="1100"/>
        </a:p>
      </xdr:txBody>
    </xdr:sp>
    <xdr:clientData/>
  </xdr:twoCellAnchor>
  <xdr:twoCellAnchor>
    <xdr:from>
      <xdr:col>20</xdr:col>
      <xdr:colOff>738186</xdr:colOff>
      <xdr:row>5</xdr:row>
      <xdr:rowOff>200025</xdr:rowOff>
    </xdr:from>
    <xdr:to>
      <xdr:col>22</xdr:col>
      <xdr:colOff>90486</xdr:colOff>
      <xdr:row>7</xdr:row>
      <xdr:rowOff>108585</xdr:rowOff>
    </xdr:to>
    <xdr:sp macro="[0]!POS_LoadProducts" textlink="">
      <xdr:nvSpPr>
        <xdr:cNvPr id="829" name="Subcategory10">
          <a:extLs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SpPr/>
      </xdr:nvSpPr>
      <xdr:spPr>
        <a:xfrm>
          <a:off x="11149011" y="1990725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endParaRPr lang="en-US" sz="1100"/>
        </a:p>
      </xdr:txBody>
    </xdr:sp>
    <xdr:clientData/>
  </xdr:twoCellAnchor>
  <xdr:twoCellAnchor>
    <xdr:from>
      <xdr:col>22</xdr:col>
      <xdr:colOff>200025</xdr:colOff>
      <xdr:row>5</xdr:row>
      <xdr:rowOff>200025</xdr:rowOff>
    </xdr:from>
    <xdr:to>
      <xdr:col>23</xdr:col>
      <xdr:colOff>333375</xdr:colOff>
      <xdr:row>7</xdr:row>
      <xdr:rowOff>108585</xdr:rowOff>
    </xdr:to>
    <xdr:sp macro="[0]!POS_LoadProducts" textlink="">
      <xdr:nvSpPr>
        <xdr:cNvPr id="830" name="Subcategory11">
          <a:extLs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SpPr/>
      </xdr:nvSpPr>
      <xdr:spPr>
        <a:xfrm>
          <a:off x="12172950" y="1990725"/>
          <a:ext cx="9144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Q37"/>
  <sheetViews>
    <sheetView workbookViewId="0">
      <selection activeCell="I4" sqref="I4"/>
    </sheetView>
  </sheetViews>
  <sheetFormatPr defaultRowHeight="15" x14ac:dyDescent="0.25"/>
  <cols>
    <col min="3" max="3" width="13.5703125" bestFit="1" customWidth="1"/>
    <col min="4" max="4" width="20.140625" bestFit="1" customWidth="1"/>
    <col min="5" max="5" width="16" bestFit="1" customWidth="1"/>
    <col min="6" max="6" width="16.140625" bestFit="1" customWidth="1"/>
    <col min="7" max="7" width="16.85546875" bestFit="1" customWidth="1"/>
    <col min="8" max="8" width="15.140625" bestFit="1" customWidth="1"/>
    <col min="9" max="9" width="18.5703125" bestFit="1" customWidth="1"/>
    <col min="11" max="11" width="15.140625" bestFit="1" customWidth="1"/>
    <col min="12" max="12" width="9.140625" customWidth="1"/>
    <col min="13" max="13" width="43.85546875" customWidth="1"/>
    <col min="15" max="15" width="35.5703125" customWidth="1"/>
  </cols>
  <sheetData>
    <row r="1" spans="1:17" ht="39" customHeight="1" thickBot="1" x14ac:dyDescent="0.5">
      <c r="A1" s="26"/>
      <c r="B1" s="26"/>
      <c r="C1" s="97" t="s">
        <v>61</v>
      </c>
      <c r="D1" s="97"/>
      <c r="E1" s="97"/>
      <c r="F1" s="97"/>
      <c r="G1" s="97"/>
      <c r="H1" s="97"/>
      <c r="I1" s="97"/>
      <c r="J1" s="97"/>
      <c r="K1" s="97"/>
      <c r="L1" s="97"/>
      <c r="M1" s="97"/>
      <c r="N1" s="26"/>
      <c r="O1" s="26"/>
    </row>
    <row r="2" spans="1:17" x14ac:dyDescent="0.25">
      <c r="A2" s="1"/>
      <c r="B2" s="1"/>
      <c r="C2" s="101" t="s">
        <v>105</v>
      </c>
      <c r="D2" s="102"/>
      <c r="E2" s="102"/>
      <c r="F2" s="102"/>
      <c r="G2" s="102"/>
      <c r="H2" s="102"/>
      <c r="I2" s="103"/>
      <c r="J2" s="1"/>
      <c r="K2" s="104" t="s">
        <v>71</v>
      </c>
      <c r="L2" s="105"/>
      <c r="M2" s="106"/>
      <c r="N2" s="1"/>
      <c r="O2" s="1"/>
    </row>
    <row r="3" spans="1:17" x14ac:dyDescent="0.25">
      <c r="A3" s="2"/>
      <c r="B3" s="2"/>
      <c r="C3" s="15" t="s">
        <v>42</v>
      </c>
      <c r="D3" s="13" t="s">
        <v>92</v>
      </c>
      <c r="E3" s="13" t="s">
        <v>106</v>
      </c>
      <c r="F3" s="13" t="s">
        <v>107</v>
      </c>
      <c r="G3" s="13" t="s">
        <v>108</v>
      </c>
      <c r="H3" s="13" t="s">
        <v>109</v>
      </c>
      <c r="I3" s="13" t="s">
        <v>110</v>
      </c>
      <c r="J3" s="2"/>
      <c r="K3" s="28" t="s">
        <v>8</v>
      </c>
      <c r="L3" s="32" t="s">
        <v>7</v>
      </c>
      <c r="M3" s="19"/>
      <c r="N3" s="2"/>
      <c r="O3" s="2"/>
    </row>
    <row r="4" spans="1:17" x14ac:dyDescent="0.25">
      <c r="A4" s="2"/>
      <c r="B4" s="2"/>
      <c r="C4" s="15" t="s">
        <v>1</v>
      </c>
      <c r="D4" s="14" t="s">
        <v>87</v>
      </c>
      <c r="E4" s="14" t="s">
        <v>88</v>
      </c>
      <c r="F4" s="14" t="s">
        <v>89</v>
      </c>
      <c r="G4" s="14" t="s">
        <v>54</v>
      </c>
      <c r="H4" s="14" t="s">
        <v>90</v>
      </c>
      <c r="I4" s="14" t="s">
        <v>91</v>
      </c>
      <c r="J4" s="2"/>
      <c r="K4" s="28" t="s">
        <v>9</v>
      </c>
      <c r="L4" s="33">
        <v>8.2500000000000004E-2</v>
      </c>
      <c r="M4" s="19"/>
      <c r="N4" s="2"/>
      <c r="O4" s="2"/>
    </row>
    <row r="5" spans="1:17" x14ac:dyDescent="0.25">
      <c r="A5" s="2"/>
      <c r="B5" s="2"/>
      <c r="C5" s="100" t="s">
        <v>31</v>
      </c>
      <c r="D5" s="22" t="s">
        <v>111</v>
      </c>
      <c r="E5" s="22" t="s">
        <v>111</v>
      </c>
      <c r="F5" s="22" t="s">
        <v>111</v>
      </c>
      <c r="G5" s="22" t="s">
        <v>111</v>
      </c>
      <c r="H5" s="22" t="s">
        <v>111</v>
      </c>
      <c r="I5" s="22" t="s">
        <v>111</v>
      </c>
      <c r="J5" s="2"/>
      <c r="K5" s="29" t="s">
        <v>60</v>
      </c>
      <c r="L5" s="98" t="s">
        <v>73</v>
      </c>
      <c r="M5" s="99"/>
      <c r="N5" s="2"/>
      <c r="O5" s="2"/>
    </row>
    <row r="6" spans="1:17" x14ac:dyDescent="0.25">
      <c r="A6" s="2"/>
      <c r="B6" s="2"/>
      <c r="C6" s="100"/>
      <c r="D6" s="22" t="s">
        <v>112</v>
      </c>
      <c r="E6" s="22" t="s">
        <v>112</v>
      </c>
      <c r="F6" s="22" t="s">
        <v>112</v>
      </c>
      <c r="G6" s="22" t="s">
        <v>112</v>
      </c>
      <c r="H6" s="22" t="s">
        <v>112</v>
      </c>
      <c r="I6" s="22" t="s">
        <v>112</v>
      </c>
      <c r="J6" s="2"/>
      <c r="K6" s="30" t="s">
        <v>72</v>
      </c>
      <c r="L6" s="31" t="s">
        <v>70</v>
      </c>
      <c r="M6" s="31"/>
      <c r="N6" s="2"/>
      <c r="O6" s="2"/>
    </row>
    <row r="7" spans="1:17" x14ac:dyDescent="0.25">
      <c r="A7" s="2"/>
      <c r="B7" s="2"/>
      <c r="C7" s="100"/>
      <c r="D7" s="22" t="s">
        <v>113</v>
      </c>
      <c r="E7" s="22" t="s">
        <v>113</v>
      </c>
      <c r="F7" s="22" t="s">
        <v>113</v>
      </c>
      <c r="G7" s="22" t="s">
        <v>113</v>
      </c>
      <c r="H7" s="22" t="s">
        <v>113</v>
      </c>
      <c r="I7" s="22" t="s">
        <v>113</v>
      </c>
      <c r="J7" s="2"/>
      <c r="K7" s="25" t="s">
        <v>24</v>
      </c>
      <c r="L7" s="34" t="s">
        <v>69</v>
      </c>
      <c r="M7" s="34" t="s">
        <v>13</v>
      </c>
      <c r="N7" s="2"/>
      <c r="O7" s="2"/>
    </row>
    <row r="8" spans="1:17" x14ac:dyDescent="0.25">
      <c r="A8" s="2"/>
      <c r="B8" s="2"/>
      <c r="C8" s="100"/>
      <c r="D8" s="22" t="s">
        <v>114</v>
      </c>
      <c r="E8" s="22" t="s">
        <v>114</v>
      </c>
      <c r="F8" s="22" t="s">
        <v>114</v>
      </c>
      <c r="G8" s="22" t="s">
        <v>114</v>
      </c>
      <c r="H8" s="22" t="s">
        <v>114</v>
      </c>
      <c r="I8" s="22" t="s">
        <v>114</v>
      </c>
      <c r="J8" s="2"/>
      <c r="K8" s="25" t="s">
        <v>25</v>
      </c>
      <c r="L8" s="25" t="s">
        <v>64</v>
      </c>
      <c r="M8" s="25" t="s">
        <v>14</v>
      </c>
      <c r="N8" s="2"/>
      <c r="O8" s="2"/>
    </row>
    <row r="9" spans="1:17" x14ac:dyDescent="0.25">
      <c r="A9" s="2"/>
      <c r="B9" s="2"/>
      <c r="C9" s="100"/>
      <c r="D9" s="22" t="s">
        <v>115</v>
      </c>
      <c r="E9" s="22" t="s">
        <v>115</v>
      </c>
      <c r="F9" s="22" t="s">
        <v>115</v>
      </c>
      <c r="G9" s="22" t="s">
        <v>115</v>
      </c>
      <c r="H9" s="22" t="s">
        <v>115</v>
      </c>
      <c r="I9" s="22" t="s">
        <v>115</v>
      </c>
      <c r="J9" s="2"/>
      <c r="K9" s="25" t="s">
        <v>26</v>
      </c>
      <c r="L9" s="25" t="s">
        <v>63</v>
      </c>
      <c r="M9" s="25" t="s">
        <v>66</v>
      </c>
      <c r="N9" s="2"/>
      <c r="O9" s="2"/>
    </row>
    <row r="10" spans="1:17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5" t="s">
        <v>27</v>
      </c>
      <c r="L10" s="25" t="s">
        <v>62</v>
      </c>
      <c r="M10" s="25" t="s">
        <v>65</v>
      </c>
      <c r="N10" s="2"/>
      <c r="O10" s="2"/>
    </row>
    <row r="11" spans="1:17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7"/>
      <c r="M11" s="2"/>
      <c r="N11" s="2"/>
      <c r="O11" s="2"/>
    </row>
    <row r="12" spans="1:17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7"/>
      <c r="M12" s="2"/>
      <c r="N12" s="2"/>
      <c r="O12" s="2"/>
      <c r="P12" s="6"/>
      <c r="Q12" s="6"/>
    </row>
    <row r="13" spans="1:17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7"/>
      <c r="M13" s="7"/>
      <c r="N13" s="7"/>
      <c r="O13" s="7"/>
    </row>
    <row r="14" spans="1:17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7"/>
      <c r="M14" s="2"/>
      <c r="N14" s="2"/>
      <c r="O14" s="2"/>
    </row>
    <row r="15" spans="1:17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7"/>
      <c r="M15" s="2"/>
      <c r="N15" s="2"/>
      <c r="O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7"/>
      <c r="M16" s="2"/>
      <c r="N16" s="2"/>
      <c r="O16" s="2"/>
    </row>
    <row r="17" spans="1:15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7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7"/>
      <c r="M18" s="2"/>
      <c r="N18" s="2"/>
      <c r="O18" s="2"/>
    </row>
    <row r="19" spans="1:1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7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42"/>
      <c r="E30" s="42"/>
      <c r="F30" s="42"/>
      <c r="G30" s="42"/>
      <c r="H30" s="42"/>
      <c r="I30" s="4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42"/>
      <c r="E31" s="42"/>
      <c r="F31" s="42"/>
      <c r="G31" s="42"/>
      <c r="H31" s="42"/>
      <c r="I31" s="4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42"/>
      <c r="E32" s="42"/>
      <c r="F32" s="42"/>
      <c r="G32" s="42"/>
      <c r="H32" s="42"/>
      <c r="I32" s="42"/>
      <c r="J32" s="2"/>
      <c r="K32" s="2"/>
      <c r="L32" s="2"/>
      <c r="M32" s="2"/>
      <c r="N32" s="2"/>
      <c r="O32" s="2"/>
    </row>
    <row r="33" spans="1:15" x14ac:dyDescent="0.25">
      <c r="A33" s="2"/>
      <c r="B33" s="2"/>
      <c r="C33" s="2"/>
      <c r="D33" s="42"/>
      <c r="E33" s="42"/>
      <c r="F33" s="42"/>
      <c r="G33" s="42"/>
      <c r="H33" s="42"/>
      <c r="I33" s="42"/>
      <c r="J33" s="2"/>
      <c r="K33" s="2"/>
      <c r="L33" s="2"/>
      <c r="M33" s="2"/>
      <c r="N33" s="2"/>
      <c r="O33" s="2"/>
    </row>
    <row r="34" spans="1:15" x14ac:dyDescent="0.25">
      <c r="A34" s="2"/>
      <c r="B34" s="2"/>
      <c r="C34" s="2"/>
      <c r="D34" s="42"/>
      <c r="E34" s="42"/>
      <c r="F34" s="42"/>
      <c r="G34" s="42"/>
      <c r="H34" s="42"/>
      <c r="I34" s="42"/>
      <c r="J34" s="2"/>
      <c r="K34" s="2"/>
      <c r="L34" s="2"/>
      <c r="M34" s="2"/>
      <c r="N34" s="2"/>
      <c r="O34" s="2"/>
    </row>
    <row r="35" spans="1:15" x14ac:dyDescent="0.25">
      <c r="A35" s="2"/>
      <c r="B35" s="2"/>
      <c r="C35" s="2"/>
      <c r="D35" s="42"/>
      <c r="E35" s="42"/>
      <c r="F35" s="42"/>
      <c r="G35" s="42"/>
      <c r="H35" s="42"/>
      <c r="I35" s="42"/>
      <c r="J35" s="2"/>
      <c r="K35" s="2"/>
      <c r="L35" s="2"/>
      <c r="M35" s="2"/>
      <c r="N35" s="2"/>
      <c r="O35" s="2"/>
    </row>
    <row r="36" spans="1:15" x14ac:dyDescent="0.25">
      <c r="A36" s="2"/>
      <c r="B36" s="2"/>
      <c r="C36" s="2"/>
      <c r="D36" s="42"/>
      <c r="E36" s="42"/>
      <c r="F36" s="42"/>
      <c r="G36" s="42"/>
      <c r="H36" s="42"/>
      <c r="I36" s="42"/>
      <c r="J36" s="2"/>
      <c r="K36" s="2"/>
      <c r="L36" s="2"/>
      <c r="M36" s="2"/>
      <c r="N36" s="2"/>
      <c r="O36" s="2"/>
    </row>
    <row r="37" spans="1:15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2"/>
      <c r="K37" s="2"/>
      <c r="L37" s="2"/>
      <c r="M37" s="2"/>
      <c r="N37" s="2"/>
      <c r="O37" s="2"/>
    </row>
  </sheetData>
  <mergeCells count="5">
    <mergeCell ref="C1:M1"/>
    <mergeCell ref="L5:M5"/>
    <mergeCell ref="C5:C9"/>
    <mergeCell ref="C2:I2"/>
    <mergeCell ref="K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OS">
    <pageSetUpPr autoPageBreaks="0"/>
  </sheetPr>
  <dimension ref="A1:Z1000"/>
  <sheetViews>
    <sheetView tabSelected="1" topLeftCell="C1" zoomScaleNormal="100" workbookViewId="0">
      <selection activeCell="J5" sqref="J5"/>
    </sheetView>
  </sheetViews>
  <sheetFormatPr defaultRowHeight="15" x14ac:dyDescent="0.25"/>
  <cols>
    <col min="1" max="1" width="16.85546875" hidden="1" customWidth="1"/>
    <col min="2" max="2" width="11.7109375" hidden="1" customWidth="1"/>
    <col min="3" max="3" width="2.42578125" customWidth="1"/>
    <col min="4" max="4" width="18" hidden="1" customWidth="1"/>
    <col min="5" max="5" width="14.140625" hidden="1" customWidth="1"/>
    <col min="6" max="6" width="6.7109375" hidden="1" customWidth="1"/>
    <col min="7" max="7" width="2.42578125" hidden="1" customWidth="1"/>
    <col min="8" max="8" width="9.140625" style="10" hidden="1" customWidth="1"/>
    <col min="9" max="9" width="14.28515625" customWidth="1"/>
    <col min="10" max="10" width="21" customWidth="1"/>
    <col min="11" max="11" width="10.5703125" customWidth="1"/>
    <col min="12" max="12" width="10.7109375" customWidth="1"/>
    <col min="14" max="14" width="10.140625" customWidth="1"/>
    <col min="15" max="15" width="5.28515625" customWidth="1"/>
    <col min="16" max="16" width="6.85546875" customWidth="1"/>
    <col min="17" max="17" width="2" customWidth="1"/>
    <col min="18" max="23" width="11.7109375" customWidth="1"/>
  </cols>
  <sheetData>
    <row r="1" spans="1:26" ht="44.25" customHeight="1" x14ac:dyDescent="0.25">
      <c r="A1" s="68" t="s">
        <v>19</v>
      </c>
      <c r="B1" s="69" t="s">
        <v>20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</row>
    <row r="2" spans="1:26" ht="42.75" customHeight="1" x14ac:dyDescent="0.25">
      <c r="A2" s="68" t="s">
        <v>18</v>
      </c>
      <c r="B2" s="69" t="b">
        <v>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2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</row>
    <row r="3" spans="1:26" ht="18" customHeight="1" x14ac:dyDescent="0.25">
      <c r="A3" s="68" t="s">
        <v>55</v>
      </c>
      <c r="B3" s="69" t="str">
        <f ca="1">IFERROR(MATCH(P4,Order_ID,0)+2,"")</f>
        <v/>
      </c>
      <c r="C3" s="44"/>
      <c r="D3" s="107" t="s">
        <v>43</v>
      </c>
      <c r="E3" s="107"/>
      <c r="F3" s="107"/>
      <c r="G3" s="44"/>
      <c r="H3" s="44"/>
      <c r="I3" s="63" t="s">
        <v>75</v>
      </c>
      <c r="J3" s="65" t="s">
        <v>100</v>
      </c>
      <c r="K3" s="90" t="s">
        <v>28</v>
      </c>
      <c r="L3" s="109" t="s">
        <v>93</v>
      </c>
      <c r="M3" s="109"/>
      <c r="N3" s="90" t="s">
        <v>81</v>
      </c>
      <c r="O3" s="109" t="s">
        <v>24</v>
      </c>
      <c r="P3" s="109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spans="1:26" ht="18" customHeight="1" x14ac:dyDescent="0.25">
      <c r="A4" s="68" t="s">
        <v>48</v>
      </c>
      <c r="B4" s="69">
        <f ca="1">IFERROR(MAX(Order_ID)+1,"10000")</f>
        <v>10004</v>
      </c>
      <c r="C4" s="44"/>
      <c r="D4" s="87" t="s">
        <v>33</v>
      </c>
      <c r="E4" s="87" t="s">
        <v>78</v>
      </c>
      <c r="F4" s="87" t="s">
        <v>32</v>
      </c>
      <c r="G4" s="44"/>
      <c r="H4" s="44"/>
      <c r="I4" s="88" t="str">
        <f>IF(B1="SALE","Customer:","Vendor:")</f>
        <v>Customer:</v>
      </c>
      <c r="J4" s="89"/>
      <c r="K4" s="88" t="s">
        <v>80</v>
      </c>
      <c r="L4" s="111">
        <v>44686.006585648145</v>
      </c>
      <c r="M4" s="111"/>
      <c r="N4" s="110" t="s">
        <v>10</v>
      </c>
      <c r="O4" s="110"/>
      <c r="P4" s="64">
        <v>10004</v>
      </c>
      <c r="Q4" s="44"/>
      <c r="R4" s="44"/>
      <c r="S4" s="44"/>
      <c r="T4" s="44"/>
      <c r="U4" s="44"/>
      <c r="V4" s="44"/>
      <c r="W4" s="44"/>
      <c r="X4" s="44"/>
      <c r="Y4" s="44"/>
      <c r="Z4" s="44"/>
    </row>
    <row r="5" spans="1:26" ht="18" customHeight="1" x14ac:dyDescent="0.25">
      <c r="A5" s="68" t="s">
        <v>49</v>
      </c>
      <c r="B5" s="69" t="str">
        <f ca="1">IFERROR(MATCH(I3,Order_ID,0)+2,"")</f>
        <v/>
      </c>
      <c r="C5" s="44"/>
      <c r="D5" s="93"/>
      <c r="E5" s="83"/>
      <c r="F5" s="83"/>
      <c r="G5" s="44"/>
      <c r="H5" s="44"/>
      <c r="I5" s="91" t="s">
        <v>79</v>
      </c>
      <c r="J5" s="92"/>
      <c r="K5" s="44"/>
      <c r="L5" s="44"/>
      <c r="M5" s="44"/>
      <c r="N5" s="44" t="str">
        <f>IF(K5="","",(K5*L5)-(K5*L5)*M5)</f>
        <v/>
      </c>
      <c r="O5" s="44"/>
      <c r="P5" s="108" t="s">
        <v>11</v>
      </c>
      <c r="Q5" s="44"/>
      <c r="R5" s="44"/>
      <c r="S5" s="44"/>
      <c r="T5" s="44"/>
      <c r="U5" s="44"/>
      <c r="V5" s="44"/>
      <c r="W5" s="44"/>
      <c r="X5" s="44"/>
      <c r="Y5" s="44"/>
      <c r="Z5" s="44"/>
    </row>
    <row r="6" spans="1:26" ht="18" customHeight="1" x14ac:dyDescent="0.25">
      <c r="A6" s="68" t="s">
        <v>22</v>
      </c>
      <c r="B6" s="69"/>
      <c r="C6" s="44"/>
      <c r="D6" s="84"/>
      <c r="E6" s="83"/>
      <c r="F6" s="83"/>
      <c r="G6" s="45"/>
      <c r="H6" s="94" t="s">
        <v>84</v>
      </c>
      <c r="I6" s="66" t="s">
        <v>82</v>
      </c>
      <c r="J6" s="67" t="s">
        <v>2</v>
      </c>
      <c r="K6" s="67" t="s">
        <v>3</v>
      </c>
      <c r="L6" s="67" t="s">
        <v>4</v>
      </c>
      <c r="M6" s="67" t="s">
        <v>5</v>
      </c>
      <c r="N6" s="67" t="s">
        <v>6</v>
      </c>
      <c r="O6" s="67"/>
      <c r="P6" s="108"/>
      <c r="Q6" s="44"/>
      <c r="R6" s="44"/>
      <c r="S6" s="44"/>
      <c r="T6" s="44"/>
      <c r="U6" s="44"/>
      <c r="V6" s="44"/>
      <c r="W6" s="44"/>
      <c r="X6" s="44"/>
      <c r="Y6" s="44"/>
      <c r="Z6" s="44"/>
    </row>
    <row r="7" spans="1:26" ht="18" customHeight="1" x14ac:dyDescent="0.25">
      <c r="A7" s="68" t="s">
        <v>83</v>
      </c>
      <c r="B7" s="69" t="str">
        <f ca="1">IFERROR(MATCH(J5,Prod_SKU,0)+2,"")</f>
        <v/>
      </c>
      <c r="C7" s="44"/>
      <c r="D7" s="84"/>
      <c r="E7" s="83"/>
      <c r="F7" s="83"/>
      <c r="G7" s="44"/>
      <c r="H7" s="94"/>
      <c r="I7" s="51"/>
      <c r="J7" s="52"/>
      <c r="K7" s="61"/>
      <c r="L7" s="75"/>
      <c r="M7" s="53"/>
      <c r="N7" s="54"/>
      <c r="O7" s="55"/>
      <c r="P7" s="95" t="str">
        <f t="shared" ref="P7:P70" si="0">IF(I7="","",SUMIFS(OrderItems_Qty,OrderItems_Type,"PURCHASE",OrderItems_SKU,I7)-SUMIFS(OrderItems_Qty,OrderItems_Type,"SALE",OrderItems_SKU,I7))</f>
        <v/>
      </c>
      <c r="Q7" s="44"/>
      <c r="R7" s="44"/>
      <c r="S7" s="44"/>
      <c r="T7" s="44"/>
      <c r="U7" s="44"/>
      <c r="V7" s="44"/>
      <c r="W7" s="44"/>
      <c r="X7" s="44"/>
      <c r="Y7" s="44"/>
      <c r="Z7" s="44"/>
    </row>
    <row r="8" spans="1:26" ht="18" customHeight="1" x14ac:dyDescent="0.25">
      <c r="A8" s="68" t="s">
        <v>76</v>
      </c>
      <c r="B8" s="69">
        <v>5</v>
      </c>
      <c r="C8" s="44"/>
      <c r="D8" s="84"/>
      <c r="E8" s="83"/>
      <c r="F8" s="83"/>
      <c r="G8" s="44"/>
      <c r="H8" s="94"/>
      <c r="I8" s="57"/>
      <c r="J8" s="56"/>
      <c r="K8" s="62"/>
      <c r="L8" s="74"/>
      <c r="M8" s="58"/>
      <c r="N8" s="59"/>
      <c r="O8" s="60"/>
      <c r="P8" s="62" t="str">
        <f t="shared" si="0"/>
        <v/>
      </c>
      <c r="Q8" s="44"/>
      <c r="R8" s="44"/>
      <c r="S8" s="44"/>
      <c r="T8" s="44"/>
      <c r="U8" s="44"/>
      <c r="V8" s="44"/>
      <c r="W8" s="44"/>
      <c r="X8" s="44"/>
      <c r="Y8" s="44"/>
      <c r="Z8" s="44"/>
    </row>
    <row r="9" spans="1:26" ht="18" customHeight="1" x14ac:dyDescent="0.25">
      <c r="A9" s="68" t="s">
        <v>12</v>
      </c>
      <c r="B9" s="69">
        <v>1</v>
      </c>
      <c r="C9" s="44"/>
      <c r="D9" s="84"/>
      <c r="E9" s="83"/>
      <c r="F9" s="83"/>
      <c r="G9" s="44"/>
      <c r="H9" s="94"/>
      <c r="I9" s="57"/>
      <c r="J9" s="56"/>
      <c r="K9" s="62"/>
      <c r="L9" s="74"/>
      <c r="M9" s="58"/>
      <c r="N9" s="59"/>
      <c r="O9" s="60"/>
      <c r="P9" s="62" t="str">
        <f t="shared" si="0"/>
        <v/>
      </c>
      <c r="Q9" s="44"/>
      <c r="R9" s="44"/>
      <c r="S9" s="44"/>
      <c r="T9" s="44"/>
      <c r="U9" s="44"/>
      <c r="V9" s="44"/>
      <c r="W9" s="44"/>
      <c r="X9" s="44"/>
      <c r="Y9" s="44"/>
      <c r="Z9" s="44"/>
    </row>
    <row r="10" spans="1:26" ht="18" customHeight="1" x14ac:dyDescent="0.25">
      <c r="A10" s="68" t="s">
        <v>29</v>
      </c>
      <c r="B10" s="69">
        <f ca="1">IFERROR(MATCH(B9,User_ID,0)+2,"")</f>
        <v>3</v>
      </c>
      <c r="C10" s="44"/>
      <c r="D10" s="84"/>
      <c r="E10" s="83"/>
      <c r="F10" s="83"/>
      <c r="G10" s="44"/>
      <c r="H10" s="94"/>
      <c r="I10" s="57"/>
      <c r="J10" s="56"/>
      <c r="K10" s="62"/>
      <c r="L10" s="74"/>
      <c r="M10" s="58"/>
      <c r="N10" s="59"/>
      <c r="O10" s="60"/>
      <c r="P10" s="62" t="str">
        <f t="shared" si="0"/>
        <v/>
      </c>
      <c r="Q10" s="44"/>
      <c r="R10" s="44"/>
      <c r="S10" s="44"/>
      <c r="T10" s="44"/>
      <c r="U10" s="44"/>
      <c r="V10" s="44"/>
      <c r="W10" s="44"/>
      <c r="X10" s="44"/>
      <c r="Y10" s="44"/>
      <c r="Z10" s="44"/>
    </row>
    <row r="11" spans="1:26" ht="18" customHeight="1" x14ac:dyDescent="0.25">
      <c r="A11" s="68" t="s">
        <v>77</v>
      </c>
      <c r="B11" s="69" t="str">
        <f ca="1">IFERROR(INDEX(User_Role,B10-2,1),"")</f>
        <v>Manager</v>
      </c>
      <c r="C11" s="44"/>
      <c r="D11" s="84"/>
      <c r="E11" s="83"/>
      <c r="F11" s="83"/>
      <c r="G11" s="44"/>
      <c r="H11" s="94"/>
      <c r="I11" s="57"/>
      <c r="J11" s="76"/>
      <c r="K11" s="62"/>
      <c r="L11" s="74"/>
      <c r="M11" s="58"/>
      <c r="N11" s="59"/>
      <c r="O11" s="60"/>
      <c r="P11" s="62" t="str">
        <f t="shared" si="0"/>
        <v/>
      </c>
      <c r="Q11" s="44"/>
      <c r="R11" s="44"/>
      <c r="S11" s="44"/>
      <c r="T11" s="44"/>
      <c r="U11" s="44"/>
      <c r="V11" s="44"/>
      <c r="W11" s="44"/>
      <c r="X11" s="44"/>
      <c r="Y11" s="44"/>
      <c r="Z11" s="44"/>
    </row>
    <row r="12" spans="1:26" ht="18" customHeight="1" x14ac:dyDescent="0.25">
      <c r="A12" s="79"/>
      <c r="B12" s="79"/>
      <c r="C12" s="44"/>
      <c r="D12" s="84"/>
      <c r="E12" s="83"/>
      <c r="F12" s="83"/>
      <c r="G12" s="44"/>
      <c r="H12" s="94"/>
      <c r="I12" s="57"/>
      <c r="J12" s="76"/>
      <c r="K12" s="62"/>
      <c r="L12" s="74"/>
      <c r="M12" s="58"/>
      <c r="N12" s="59"/>
      <c r="O12" s="60"/>
      <c r="P12" s="62" t="str">
        <f t="shared" si="0"/>
        <v/>
      </c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spans="1:26" ht="18" customHeight="1" x14ac:dyDescent="0.25">
      <c r="A13" s="38" t="s">
        <v>15</v>
      </c>
      <c r="B13" s="39">
        <f>SUM(N7:N999)</f>
        <v>0</v>
      </c>
      <c r="C13" s="44"/>
      <c r="D13" s="84"/>
      <c r="E13" s="83"/>
      <c r="F13" s="83"/>
      <c r="G13" s="44"/>
      <c r="H13" s="94"/>
      <c r="I13" s="57"/>
      <c r="J13" s="76"/>
      <c r="K13" s="62"/>
      <c r="L13" s="74"/>
      <c r="M13" s="58"/>
      <c r="N13" s="59"/>
      <c r="O13" s="60"/>
      <c r="P13" s="62" t="str">
        <f t="shared" si="0"/>
        <v/>
      </c>
      <c r="Q13" s="44"/>
      <c r="R13" s="44"/>
      <c r="S13" s="44"/>
      <c r="T13" s="44"/>
      <c r="U13" s="44"/>
      <c r="V13" s="44"/>
      <c r="W13" s="44"/>
      <c r="X13" s="44"/>
      <c r="Y13" s="44"/>
      <c r="Z13" s="44"/>
    </row>
    <row r="14" spans="1:26" ht="18" customHeight="1" x14ac:dyDescent="0.25">
      <c r="A14" s="38" t="str">
        <f>TaxName&amp;"("&amp;TEXT(TaxRate,"0.00%")&amp;"):"</f>
        <v>Tax(8.25%):</v>
      </c>
      <c r="B14" s="39">
        <f>B13*TaxRate</f>
        <v>0</v>
      </c>
      <c r="C14" s="44"/>
      <c r="D14" s="84"/>
      <c r="E14" s="83"/>
      <c r="F14" s="83"/>
      <c r="G14" s="44"/>
      <c r="H14" s="94"/>
      <c r="I14" s="57"/>
      <c r="J14" s="76"/>
      <c r="K14" s="62"/>
      <c r="L14" s="74"/>
      <c r="M14" s="58"/>
      <c r="N14" s="59"/>
      <c r="O14" s="60"/>
      <c r="P14" s="62" t="str">
        <f t="shared" si="0"/>
        <v/>
      </c>
      <c r="Q14" s="44"/>
      <c r="R14" s="44"/>
      <c r="S14" s="44"/>
      <c r="T14" s="44"/>
      <c r="U14" s="44"/>
      <c r="V14" s="44"/>
      <c r="W14" s="44"/>
      <c r="X14" s="44"/>
      <c r="Y14" s="44"/>
      <c r="Z14" s="44"/>
    </row>
    <row r="15" spans="1:26" ht="18" customHeight="1" x14ac:dyDescent="0.25">
      <c r="A15" s="38" t="s">
        <v>6</v>
      </c>
      <c r="B15" s="39">
        <f>SUM(B13:B14)</f>
        <v>0</v>
      </c>
      <c r="C15" s="44"/>
      <c r="D15" s="84"/>
      <c r="E15" s="83"/>
      <c r="F15" s="83"/>
      <c r="G15" s="44"/>
      <c r="H15" s="94"/>
      <c r="I15" s="57"/>
      <c r="J15" s="56"/>
      <c r="K15" s="62"/>
      <c r="L15" s="74"/>
      <c r="M15" s="58"/>
      <c r="N15" s="59"/>
      <c r="O15" s="60"/>
      <c r="P15" s="62" t="str">
        <f t="shared" si="0"/>
        <v/>
      </c>
      <c r="Q15" s="44"/>
      <c r="R15" s="44"/>
      <c r="S15" s="44"/>
      <c r="T15" s="44"/>
      <c r="U15" s="44"/>
      <c r="V15" s="44"/>
      <c r="W15" s="44"/>
      <c r="X15" s="44"/>
      <c r="Y15" s="44"/>
      <c r="Z15" s="44"/>
    </row>
    <row r="16" spans="1:26" ht="18" customHeight="1" x14ac:dyDescent="0.25">
      <c r="A16" s="38" t="s">
        <v>16</v>
      </c>
      <c r="B16" s="40"/>
      <c r="C16" s="44"/>
      <c r="D16" s="84"/>
      <c r="E16" s="83"/>
      <c r="F16" s="83"/>
      <c r="G16" s="44"/>
      <c r="H16" s="94"/>
      <c r="I16" s="57"/>
      <c r="J16" s="56"/>
      <c r="K16" s="62"/>
      <c r="L16" s="74"/>
      <c r="M16" s="58"/>
      <c r="N16" s="59"/>
      <c r="O16" s="60"/>
      <c r="P16" s="62" t="str">
        <f t="shared" si="0"/>
        <v/>
      </c>
      <c r="Q16" s="44"/>
      <c r="R16" s="44"/>
      <c r="S16" s="44"/>
      <c r="T16" s="44"/>
      <c r="U16" s="44"/>
      <c r="V16" s="44"/>
      <c r="W16" s="44"/>
      <c r="X16" s="44"/>
      <c r="Y16" s="44"/>
      <c r="Z16" s="44"/>
    </row>
    <row r="17" spans="1:26" ht="18" customHeight="1" x14ac:dyDescent="0.25">
      <c r="A17" s="38" t="s">
        <v>17</v>
      </c>
      <c r="B17" s="40" t="str">
        <f>IF(B16="","",B16-B15)</f>
        <v/>
      </c>
      <c r="C17" s="44"/>
      <c r="D17" s="84"/>
      <c r="E17" s="83"/>
      <c r="F17" s="83"/>
      <c r="G17" s="44"/>
      <c r="H17" s="94"/>
      <c r="I17" s="57"/>
      <c r="J17" s="56"/>
      <c r="K17" s="62"/>
      <c r="L17" s="74"/>
      <c r="M17" s="58"/>
      <c r="N17" s="59"/>
      <c r="O17" s="60"/>
      <c r="P17" s="62" t="str">
        <f t="shared" si="0"/>
        <v/>
      </c>
      <c r="Q17" s="44"/>
      <c r="R17" s="44"/>
      <c r="S17" s="44"/>
      <c r="T17" s="44"/>
      <c r="U17" s="44"/>
      <c r="V17" s="44"/>
      <c r="W17" s="44"/>
      <c r="X17" s="44"/>
      <c r="Y17" s="44"/>
      <c r="Z17" s="44"/>
    </row>
    <row r="18" spans="1:26" ht="18" customHeight="1" x14ac:dyDescent="0.25">
      <c r="A18" s="79"/>
      <c r="B18" s="79"/>
      <c r="C18" s="44"/>
      <c r="D18" s="84"/>
      <c r="E18" s="83"/>
      <c r="F18" s="83"/>
      <c r="G18" s="44"/>
      <c r="H18" s="94"/>
      <c r="I18" s="57"/>
      <c r="J18" s="56"/>
      <c r="K18" s="62"/>
      <c r="L18" s="74"/>
      <c r="M18" s="58"/>
      <c r="N18" s="59"/>
      <c r="O18" s="60"/>
      <c r="P18" s="62" t="str">
        <f t="shared" si="0"/>
        <v/>
      </c>
      <c r="Q18" s="44"/>
      <c r="R18" s="44"/>
      <c r="S18" s="44"/>
      <c r="T18" s="44"/>
      <c r="U18" s="44"/>
      <c r="V18" s="44"/>
      <c r="W18" s="44"/>
      <c r="X18" s="44"/>
      <c r="Y18" s="44"/>
      <c r="Z18" s="44"/>
    </row>
    <row r="19" spans="1:26" ht="18" customHeight="1" x14ac:dyDescent="0.25">
      <c r="A19" s="96" t="s">
        <v>85</v>
      </c>
      <c r="B19" s="96" t="b">
        <f ca="1">IFERROR(IF(AND(B1="SALE",ISERROR(MATCH(J4,Customer_Name,0)=TRUE)),TRUE,FALSE),FALSE)</f>
        <v>1</v>
      </c>
      <c r="C19" s="44"/>
      <c r="D19" s="84"/>
      <c r="E19" s="83"/>
      <c r="F19" s="83"/>
      <c r="G19" s="44"/>
      <c r="H19" s="45"/>
      <c r="I19" s="57"/>
      <c r="J19" s="56"/>
      <c r="K19" s="62"/>
      <c r="L19" s="59"/>
      <c r="M19" s="58"/>
      <c r="N19" s="59"/>
      <c r="O19" s="60"/>
      <c r="P19" s="62" t="str">
        <f t="shared" si="0"/>
        <v/>
      </c>
      <c r="Q19" s="44"/>
      <c r="R19" s="44"/>
      <c r="S19" s="44"/>
      <c r="T19" s="44"/>
      <c r="U19" s="44"/>
      <c r="V19" s="44"/>
      <c r="W19" s="44"/>
      <c r="X19" s="44"/>
      <c r="Y19" s="44"/>
      <c r="Z19" s="44"/>
    </row>
    <row r="20" spans="1:26" ht="18" customHeight="1" x14ac:dyDescent="0.25">
      <c r="A20" s="96" t="s">
        <v>86</v>
      </c>
      <c r="B20" s="96" t="b">
        <f ca="1">IFERROR(IF(AND(B1="PURCHASE",ISERROR(MATCH(J4,Vendor_Name,0)=TRUE)),TRUE,FALSE),FALSE)</f>
        <v>0</v>
      </c>
      <c r="C20" s="44"/>
      <c r="D20" s="84"/>
      <c r="E20" s="83"/>
      <c r="F20" s="83"/>
      <c r="G20" s="44"/>
      <c r="H20" s="45"/>
      <c r="I20" s="57"/>
      <c r="J20" s="56"/>
      <c r="K20" s="62"/>
      <c r="L20" s="59"/>
      <c r="M20" s="58"/>
      <c r="N20" s="59"/>
      <c r="O20" s="60"/>
      <c r="P20" s="62" t="str">
        <f t="shared" si="0"/>
        <v/>
      </c>
      <c r="Q20" s="44"/>
      <c r="R20" s="44"/>
      <c r="S20" s="44"/>
      <c r="T20" s="44"/>
      <c r="U20" s="44"/>
      <c r="V20" s="44"/>
      <c r="W20" s="44"/>
      <c r="X20" s="44"/>
      <c r="Y20" s="44"/>
      <c r="Z20" s="44"/>
    </row>
    <row r="21" spans="1:26" ht="18" customHeight="1" x14ac:dyDescent="0.25">
      <c r="A21" s="79"/>
      <c r="B21" s="79"/>
      <c r="C21" s="44"/>
      <c r="D21" s="84"/>
      <c r="E21" s="83"/>
      <c r="F21" s="83"/>
      <c r="G21" s="44"/>
      <c r="H21" s="45"/>
      <c r="I21" s="57"/>
      <c r="J21" s="56"/>
      <c r="K21" s="62"/>
      <c r="L21" s="59"/>
      <c r="M21" s="58"/>
      <c r="N21" s="59"/>
      <c r="O21" s="60"/>
      <c r="P21" s="62" t="str">
        <f t="shared" si="0"/>
        <v/>
      </c>
      <c r="Q21" s="44"/>
      <c r="R21" s="44"/>
      <c r="S21" s="44"/>
      <c r="T21" s="44"/>
      <c r="U21" s="44"/>
      <c r="V21" s="44"/>
      <c r="W21" s="44"/>
      <c r="X21" s="44"/>
      <c r="Y21" s="44"/>
      <c r="Z21" s="44"/>
    </row>
    <row r="22" spans="1:26" ht="18" customHeight="1" x14ac:dyDescent="0.25">
      <c r="A22" s="79"/>
      <c r="B22" s="79"/>
      <c r="C22" s="44"/>
      <c r="D22" s="84"/>
      <c r="E22" s="83"/>
      <c r="F22" s="83"/>
      <c r="G22" s="44"/>
      <c r="H22" s="45"/>
      <c r="I22" s="57"/>
      <c r="J22" s="56"/>
      <c r="K22" s="62"/>
      <c r="L22" s="59"/>
      <c r="M22" s="58"/>
      <c r="N22" s="59"/>
      <c r="O22" s="60"/>
      <c r="P22" s="62" t="str">
        <f t="shared" si="0"/>
        <v/>
      </c>
      <c r="Q22" s="44"/>
      <c r="R22" s="44"/>
      <c r="S22" s="44"/>
      <c r="T22" s="44"/>
      <c r="U22" s="44"/>
      <c r="V22" s="44"/>
      <c r="W22" s="44"/>
      <c r="X22" s="44"/>
      <c r="Y22" s="44"/>
      <c r="Z22" s="44"/>
    </row>
    <row r="23" spans="1:26" ht="18" customHeight="1" x14ac:dyDescent="0.25">
      <c r="A23" s="79"/>
      <c r="B23" s="79"/>
      <c r="C23" s="44"/>
      <c r="D23" s="84"/>
      <c r="E23" s="83"/>
      <c r="F23" s="83"/>
      <c r="G23" s="44"/>
      <c r="H23" s="45"/>
      <c r="I23" s="57"/>
      <c r="J23" s="56"/>
      <c r="K23" s="62"/>
      <c r="L23" s="59"/>
      <c r="M23" s="58"/>
      <c r="N23" s="59"/>
      <c r="O23" s="60"/>
      <c r="P23" s="62" t="str">
        <f t="shared" si="0"/>
        <v/>
      </c>
      <c r="Q23" s="44"/>
      <c r="R23" s="44"/>
      <c r="S23" s="44"/>
      <c r="T23" s="44"/>
      <c r="U23" s="44"/>
      <c r="V23" s="44"/>
      <c r="W23" s="44"/>
      <c r="X23" s="44"/>
      <c r="Y23" s="44"/>
      <c r="Z23" s="44"/>
    </row>
    <row r="24" spans="1:26" ht="18" customHeight="1" x14ac:dyDescent="0.25">
      <c r="A24" s="79"/>
      <c r="B24" s="79"/>
      <c r="C24" s="44"/>
      <c r="D24" s="84"/>
      <c r="E24" s="83"/>
      <c r="F24" s="83"/>
      <c r="G24" s="44"/>
      <c r="H24" s="45"/>
      <c r="I24" s="57"/>
      <c r="J24" s="56"/>
      <c r="K24" s="62"/>
      <c r="L24" s="59"/>
      <c r="M24" s="58"/>
      <c r="N24" s="59"/>
      <c r="O24" s="60"/>
      <c r="P24" s="62" t="str">
        <f t="shared" si="0"/>
        <v/>
      </c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spans="1:26" ht="17.45" customHeight="1" x14ac:dyDescent="0.25">
      <c r="A25" s="79"/>
      <c r="B25" s="79"/>
      <c r="C25" s="44"/>
      <c r="D25" s="84"/>
      <c r="E25" s="83"/>
      <c r="F25" s="83"/>
      <c r="G25" s="44"/>
      <c r="H25" s="45"/>
      <c r="I25" s="47"/>
      <c r="J25" s="46"/>
      <c r="K25" s="45"/>
      <c r="L25" s="49"/>
      <c r="M25" s="48"/>
      <c r="N25" s="49"/>
      <c r="O25" s="50"/>
      <c r="P25" s="45" t="str">
        <f t="shared" si="0"/>
        <v/>
      </c>
      <c r="Q25" s="44"/>
      <c r="R25" s="44"/>
      <c r="S25" s="44"/>
      <c r="T25" s="44"/>
      <c r="U25" s="44"/>
      <c r="V25" s="44"/>
      <c r="W25" s="44"/>
      <c r="X25" s="44"/>
      <c r="Y25" s="44"/>
      <c r="Z25" s="44"/>
    </row>
    <row r="26" spans="1:26" ht="17.45" customHeight="1" x14ac:dyDescent="0.25">
      <c r="A26" s="79"/>
      <c r="B26" s="79"/>
      <c r="C26" s="44"/>
      <c r="D26" s="84"/>
      <c r="E26" s="83"/>
      <c r="F26" s="83"/>
      <c r="G26" s="44"/>
      <c r="H26" s="45"/>
      <c r="I26" s="47"/>
      <c r="J26" s="46"/>
      <c r="K26" s="45"/>
      <c r="L26" s="49"/>
      <c r="M26" s="48"/>
      <c r="N26" s="49"/>
      <c r="O26" s="50"/>
      <c r="P26" s="45" t="str">
        <f t="shared" si="0"/>
        <v/>
      </c>
      <c r="Q26" s="44"/>
      <c r="R26" s="44"/>
      <c r="S26" s="44"/>
      <c r="T26" s="44"/>
      <c r="U26" s="44"/>
      <c r="V26" s="44"/>
      <c r="W26" s="44"/>
      <c r="X26" s="44"/>
      <c r="Y26" s="44"/>
      <c r="Z26" s="44"/>
    </row>
    <row r="27" spans="1:26" ht="17.45" customHeight="1" x14ac:dyDescent="0.25">
      <c r="A27" s="79"/>
      <c r="B27" s="79"/>
      <c r="C27" s="44"/>
      <c r="D27" s="84"/>
      <c r="E27" s="83"/>
      <c r="F27" s="83"/>
      <c r="G27" s="44"/>
      <c r="H27" s="45"/>
      <c r="I27" s="47"/>
      <c r="J27" s="46"/>
      <c r="K27" s="45"/>
      <c r="L27" s="49"/>
      <c r="M27" s="48"/>
      <c r="N27" s="49"/>
      <c r="O27" s="50"/>
      <c r="P27" s="45" t="str">
        <f t="shared" si="0"/>
        <v/>
      </c>
      <c r="Q27" s="44"/>
      <c r="R27" s="44"/>
      <c r="S27" s="44"/>
      <c r="T27" s="44"/>
      <c r="U27" s="44"/>
      <c r="V27" s="44"/>
      <c r="W27" s="44"/>
      <c r="X27" s="44"/>
      <c r="Y27" s="44"/>
      <c r="Z27" s="44"/>
    </row>
    <row r="28" spans="1:26" ht="17.45" customHeight="1" x14ac:dyDescent="0.25">
      <c r="A28" s="79"/>
      <c r="B28" s="79"/>
      <c r="C28" s="44"/>
      <c r="D28" s="84"/>
      <c r="E28" s="83"/>
      <c r="F28" s="83"/>
      <c r="G28" s="44"/>
      <c r="H28" s="45"/>
      <c r="I28" s="47"/>
      <c r="J28" s="46"/>
      <c r="K28" s="45"/>
      <c r="L28" s="49"/>
      <c r="M28" s="48"/>
      <c r="N28" s="49"/>
      <c r="O28" s="50"/>
      <c r="P28" s="45" t="str">
        <f t="shared" si="0"/>
        <v/>
      </c>
      <c r="Q28" s="44"/>
      <c r="R28" s="44"/>
      <c r="S28" s="44"/>
      <c r="T28" s="44"/>
      <c r="U28" s="44"/>
      <c r="V28" s="44"/>
      <c r="W28" s="44"/>
      <c r="X28" s="44"/>
      <c r="Y28" s="44"/>
      <c r="Z28" s="44"/>
    </row>
    <row r="29" spans="1:26" ht="17.45" customHeight="1" x14ac:dyDescent="0.25">
      <c r="A29" s="79"/>
      <c r="B29" s="79"/>
      <c r="C29" s="44"/>
      <c r="D29" s="84"/>
      <c r="E29" s="83"/>
      <c r="F29" s="83"/>
      <c r="G29" s="44"/>
      <c r="H29" s="45"/>
      <c r="I29" s="47"/>
      <c r="J29" s="46"/>
      <c r="K29" s="45"/>
      <c r="L29" s="49"/>
      <c r="M29" s="48"/>
      <c r="N29" s="49"/>
      <c r="O29" s="50"/>
      <c r="P29" s="46" t="str">
        <f t="shared" si="0"/>
        <v/>
      </c>
      <c r="Q29" s="44"/>
      <c r="R29" s="44"/>
      <c r="S29" s="44"/>
      <c r="T29" s="44"/>
      <c r="U29" s="44"/>
      <c r="V29" s="44"/>
      <c r="W29" s="44"/>
      <c r="X29" s="44"/>
      <c r="Y29" s="44"/>
      <c r="Z29" s="44"/>
    </row>
    <row r="30" spans="1:26" ht="17.45" customHeight="1" x14ac:dyDescent="0.25">
      <c r="A30" s="79"/>
      <c r="B30" s="79"/>
      <c r="C30" s="44"/>
      <c r="D30" s="84"/>
      <c r="E30" s="83"/>
      <c r="F30" s="83"/>
      <c r="G30" s="44"/>
      <c r="H30" s="45"/>
      <c r="I30" s="71"/>
      <c r="J30" s="44"/>
      <c r="K30" s="45"/>
      <c r="L30" s="72"/>
      <c r="M30" s="44"/>
      <c r="N30" s="72"/>
      <c r="O30" s="73"/>
      <c r="P30" s="44" t="str">
        <f t="shared" si="0"/>
        <v/>
      </c>
      <c r="Q30" s="44"/>
      <c r="R30" s="44"/>
      <c r="S30" s="44"/>
      <c r="T30" s="44"/>
      <c r="U30" s="44"/>
      <c r="V30" s="44"/>
      <c r="W30" s="44"/>
      <c r="X30" s="44"/>
      <c r="Y30" s="44"/>
      <c r="Z30" s="44"/>
    </row>
    <row r="31" spans="1:26" ht="17.45" customHeight="1" x14ac:dyDescent="0.25">
      <c r="A31" s="79"/>
      <c r="B31" s="79"/>
      <c r="C31" s="44"/>
      <c r="D31" s="84"/>
      <c r="E31" s="83"/>
      <c r="F31" s="83"/>
      <c r="G31" s="44"/>
      <c r="H31" s="45"/>
      <c r="I31" s="71"/>
      <c r="J31" s="44"/>
      <c r="K31" s="45"/>
      <c r="L31" s="72"/>
      <c r="M31" s="44"/>
      <c r="N31" s="72"/>
      <c r="O31" s="73"/>
      <c r="P31" s="44" t="str">
        <f t="shared" si="0"/>
        <v/>
      </c>
      <c r="Q31" s="44"/>
      <c r="R31" s="44"/>
      <c r="S31" s="44"/>
      <c r="T31" s="44"/>
      <c r="U31" s="44"/>
      <c r="V31" s="44"/>
      <c r="W31" s="44"/>
      <c r="X31" s="44"/>
      <c r="Y31" s="44"/>
      <c r="Z31" s="44"/>
    </row>
    <row r="32" spans="1:26" ht="17.45" customHeight="1" x14ac:dyDescent="0.25">
      <c r="A32" s="79"/>
      <c r="B32" s="79"/>
      <c r="C32" s="44"/>
      <c r="D32" s="84"/>
      <c r="E32" s="83"/>
      <c r="F32" s="83"/>
      <c r="G32" s="44"/>
      <c r="H32" s="45"/>
      <c r="I32" s="71"/>
      <c r="J32" s="44"/>
      <c r="K32" s="45"/>
      <c r="L32" s="72"/>
      <c r="M32" s="44"/>
      <c r="N32" s="72"/>
      <c r="O32" s="73"/>
      <c r="P32" s="44" t="str">
        <f t="shared" si="0"/>
        <v/>
      </c>
      <c r="Q32" s="44"/>
      <c r="R32" s="44"/>
      <c r="S32" s="44"/>
      <c r="T32" s="44"/>
      <c r="U32" s="44"/>
      <c r="V32" s="44"/>
      <c r="W32" s="44"/>
      <c r="X32" s="44"/>
      <c r="Y32" s="44"/>
      <c r="Z32" s="44"/>
    </row>
    <row r="33" spans="1:26" ht="17.45" customHeight="1" x14ac:dyDescent="0.25">
      <c r="A33" s="79"/>
      <c r="B33" s="79"/>
      <c r="C33" s="44"/>
      <c r="D33" s="84"/>
      <c r="E33" s="83"/>
      <c r="F33" s="83"/>
      <c r="G33" s="44"/>
      <c r="H33" s="45"/>
      <c r="I33" s="71"/>
      <c r="J33" s="44"/>
      <c r="K33" s="45"/>
      <c r="L33" s="72"/>
      <c r="M33" s="44"/>
      <c r="N33" s="72"/>
      <c r="O33" s="73"/>
      <c r="P33" s="44" t="str">
        <f t="shared" si="0"/>
        <v/>
      </c>
      <c r="Q33" s="44"/>
      <c r="R33" s="44"/>
      <c r="S33" s="44"/>
      <c r="T33" s="44"/>
      <c r="U33" s="44"/>
      <c r="V33" s="44"/>
      <c r="W33" s="44"/>
      <c r="X33" s="44"/>
      <c r="Y33" s="44"/>
      <c r="Z33" s="44"/>
    </row>
    <row r="34" spans="1:26" ht="17.45" customHeight="1" x14ac:dyDescent="0.25">
      <c r="A34" s="79"/>
      <c r="B34" s="79"/>
      <c r="C34" s="44"/>
      <c r="D34" s="84"/>
      <c r="E34" s="83"/>
      <c r="F34" s="83"/>
      <c r="G34" s="44"/>
      <c r="H34" s="45"/>
      <c r="I34" s="71"/>
      <c r="J34" s="44"/>
      <c r="K34" s="45"/>
      <c r="L34" s="44"/>
      <c r="M34" s="44"/>
      <c r="N34" s="72"/>
      <c r="O34" s="73"/>
      <c r="P34" s="44" t="str">
        <f t="shared" si="0"/>
        <v/>
      </c>
      <c r="Q34" s="44"/>
      <c r="R34" s="44"/>
      <c r="S34" s="44"/>
      <c r="T34" s="44"/>
      <c r="U34" s="44"/>
      <c r="V34" s="44"/>
      <c r="W34" s="44"/>
      <c r="X34" s="44"/>
      <c r="Y34" s="44"/>
      <c r="Z34" s="44"/>
    </row>
    <row r="35" spans="1:26" ht="17.45" customHeight="1" x14ac:dyDescent="0.25">
      <c r="A35" s="79"/>
      <c r="B35" s="79"/>
      <c r="C35" s="44"/>
      <c r="D35" s="84"/>
      <c r="E35" s="83"/>
      <c r="F35" s="83"/>
      <c r="G35" s="44"/>
      <c r="H35" s="45"/>
      <c r="I35" s="71"/>
      <c r="J35" s="44"/>
      <c r="K35" s="45"/>
      <c r="L35" s="44"/>
      <c r="M35" s="44"/>
      <c r="N35" s="72"/>
      <c r="O35" s="73"/>
      <c r="P35" s="44" t="str">
        <f t="shared" si="0"/>
        <v/>
      </c>
      <c r="Q35" s="44"/>
      <c r="R35" s="44"/>
      <c r="S35" s="44"/>
      <c r="T35" s="44"/>
      <c r="U35" s="44"/>
      <c r="V35" s="44"/>
      <c r="W35" s="44"/>
      <c r="X35" s="44"/>
      <c r="Y35" s="44"/>
      <c r="Z35" s="44"/>
    </row>
    <row r="36" spans="1:26" ht="17.45" customHeight="1" x14ac:dyDescent="0.25">
      <c r="A36" s="79"/>
      <c r="B36" s="79"/>
      <c r="C36" s="44"/>
      <c r="D36" s="84"/>
      <c r="E36" s="83"/>
      <c r="F36" s="83"/>
      <c r="G36" s="44"/>
      <c r="H36" s="45"/>
      <c r="I36" s="71"/>
      <c r="J36" s="44"/>
      <c r="K36" s="45"/>
      <c r="L36" s="44"/>
      <c r="M36" s="44"/>
      <c r="N36" s="72"/>
      <c r="O36" s="73"/>
      <c r="P36" s="44" t="str">
        <f t="shared" si="0"/>
        <v/>
      </c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spans="1:26" ht="17.45" customHeight="1" x14ac:dyDescent="0.25">
      <c r="A37" s="79"/>
      <c r="B37" s="79"/>
      <c r="C37" s="44"/>
      <c r="D37" s="84"/>
      <c r="E37" s="83"/>
      <c r="F37" s="83"/>
      <c r="G37" s="44"/>
      <c r="H37" s="45"/>
      <c r="I37" s="71"/>
      <c r="J37" s="44"/>
      <c r="K37" s="45"/>
      <c r="L37" s="44"/>
      <c r="M37" s="44"/>
      <c r="N37" s="72"/>
      <c r="O37" s="73"/>
      <c r="P37" s="44" t="str">
        <f t="shared" si="0"/>
        <v/>
      </c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spans="1:26" ht="17.45" customHeight="1" x14ac:dyDescent="0.25">
      <c r="A38" s="79"/>
      <c r="B38" s="79"/>
      <c r="C38" s="44"/>
      <c r="D38" s="84"/>
      <c r="E38" s="83"/>
      <c r="F38" s="83"/>
      <c r="G38" s="44"/>
      <c r="H38" s="45"/>
      <c r="I38" s="71"/>
      <c r="J38" s="44"/>
      <c r="K38" s="44"/>
      <c r="L38" s="44"/>
      <c r="M38" s="44"/>
      <c r="N38" s="72"/>
      <c r="O38" s="73"/>
      <c r="P38" s="44" t="str">
        <f t="shared" si="0"/>
        <v/>
      </c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spans="1:26" ht="17.45" customHeight="1" x14ac:dyDescent="0.25">
      <c r="A39" s="78"/>
      <c r="B39" s="78"/>
      <c r="C39" s="44"/>
      <c r="D39" s="84"/>
      <c r="E39" s="83"/>
      <c r="F39" s="83"/>
      <c r="G39" s="44"/>
      <c r="H39" s="45"/>
      <c r="I39" s="71"/>
      <c r="J39" s="44"/>
      <c r="K39" s="44"/>
      <c r="L39" s="44"/>
      <c r="M39" s="44"/>
      <c r="N39" s="72"/>
      <c r="O39" s="73"/>
      <c r="P39" s="44" t="str">
        <f t="shared" si="0"/>
        <v/>
      </c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spans="1:26" ht="17.45" customHeight="1" x14ac:dyDescent="0.25">
      <c r="A40" s="78"/>
      <c r="B40" s="78"/>
      <c r="C40" s="44"/>
      <c r="D40" s="84"/>
      <c r="E40" s="83"/>
      <c r="F40" s="83"/>
      <c r="G40" s="44"/>
      <c r="H40" s="44"/>
      <c r="I40" s="71"/>
      <c r="J40" s="44"/>
      <c r="K40" s="44"/>
      <c r="L40" s="44"/>
      <c r="M40" s="44"/>
      <c r="N40" s="72"/>
      <c r="O40" s="73"/>
      <c r="P40" s="44" t="str">
        <f t="shared" si="0"/>
        <v/>
      </c>
      <c r="Q40" s="44"/>
      <c r="R40" s="44"/>
      <c r="S40" s="44"/>
      <c r="T40" s="44"/>
      <c r="U40" s="44"/>
      <c r="V40" s="44"/>
      <c r="W40" s="44"/>
      <c r="X40" s="44"/>
      <c r="Y40" s="44"/>
      <c r="Z40" s="44"/>
    </row>
    <row r="41" spans="1:26" ht="17.45" customHeight="1" x14ac:dyDescent="0.25">
      <c r="A41" s="78"/>
      <c r="B41" s="78"/>
      <c r="C41" s="44"/>
      <c r="D41" s="84"/>
      <c r="E41" s="83"/>
      <c r="F41" s="83"/>
      <c r="G41" s="44"/>
      <c r="H41" s="44"/>
      <c r="I41" s="71"/>
      <c r="J41" s="44"/>
      <c r="K41" s="44"/>
      <c r="L41" s="44"/>
      <c r="M41" s="44"/>
      <c r="N41" s="72"/>
      <c r="O41" s="73"/>
      <c r="P41" s="44" t="str">
        <f t="shared" si="0"/>
        <v/>
      </c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spans="1:26" ht="17.45" customHeight="1" x14ac:dyDescent="0.25">
      <c r="A42" s="78"/>
      <c r="B42" s="78"/>
      <c r="C42" s="44"/>
      <c r="D42" s="84"/>
      <c r="E42" s="83"/>
      <c r="F42" s="83"/>
      <c r="G42" s="44"/>
      <c r="H42" s="44"/>
      <c r="I42" s="71"/>
      <c r="J42" s="44"/>
      <c r="K42" s="44"/>
      <c r="L42" s="44"/>
      <c r="M42" s="44"/>
      <c r="N42" s="72"/>
      <c r="O42" s="73"/>
      <c r="P42" s="44" t="str">
        <f t="shared" si="0"/>
        <v/>
      </c>
      <c r="Q42" s="44"/>
      <c r="R42" s="44"/>
      <c r="S42" s="44"/>
      <c r="T42" s="44"/>
      <c r="U42" s="44"/>
      <c r="V42" s="44"/>
      <c r="W42" s="44"/>
      <c r="X42" s="44"/>
      <c r="Y42" s="44"/>
      <c r="Z42" s="44"/>
    </row>
    <row r="43" spans="1:26" ht="17.45" customHeight="1" x14ac:dyDescent="0.25">
      <c r="A43" s="78"/>
      <c r="B43" s="78"/>
      <c r="C43" s="44"/>
      <c r="D43" s="84"/>
      <c r="E43" s="83"/>
      <c r="F43" s="83"/>
      <c r="G43" s="44"/>
      <c r="H43" s="44"/>
      <c r="I43" s="71"/>
      <c r="J43" s="44"/>
      <c r="K43" s="44"/>
      <c r="L43" s="44"/>
      <c r="M43" s="44"/>
      <c r="N43" s="72"/>
      <c r="O43" s="73"/>
      <c r="P43" s="44" t="str">
        <f t="shared" si="0"/>
        <v/>
      </c>
      <c r="Q43" s="44"/>
      <c r="R43" s="44"/>
      <c r="S43" s="44"/>
      <c r="T43" s="44"/>
      <c r="U43" s="44"/>
      <c r="V43" s="44"/>
      <c r="W43" s="44"/>
      <c r="X43" s="44"/>
      <c r="Y43" s="44"/>
      <c r="Z43" s="44"/>
    </row>
    <row r="44" spans="1:26" ht="17.45" customHeight="1" x14ac:dyDescent="0.25">
      <c r="A44" s="78"/>
      <c r="B44" s="78"/>
      <c r="C44" s="44"/>
      <c r="D44" s="84"/>
      <c r="E44" s="83"/>
      <c r="F44" s="83"/>
      <c r="G44" s="44"/>
      <c r="H44" s="44"/>
      <c r="I44" s="71"/>
      <c r="J44" s="44"/>
      <c r="K44" s="44"/>
      <c r="L44" s="44"/>
      <c r="M44" s="44"/>
      <c r="N44" s="72"/>
      <c r="O44" s="73"/>
      <c r="P44" s="44" t="str">
        <f t="shared" si="0"/>
        <v/>
      </c>
      <c r="Q44" s="44"/>
      <c r="R44" s="44"/>
      <c r="S44" s="44"/>
      <c r="T44" s="44"/>
      <c r="U44" s="44"/>
      <c r="V44" s="44"/>
      <c r="W44" s="44"/>
      <c r="X44" s="44"/>
      <c r="Y44" s="44"/>
      <c r="Z44" s="44"/>
    </row>
    <row r="45" spans="1:26" ht="17.45" customHeight="1" x14ac:dyDescent="0.25">
      <c r="A45" s="78"/>
      <c r="B45" s="78"/>
      <c r="C45" s="44"/>
      <c r="D45" s="84"/>
      <c r="E45" s="83"/>
      <c r="F45" s="83"/>
      <c r="G45" s="44"/>
      <c r="H45" s="44"/>
      <c r="I45" s="71"/>
      <c r="J45" s="44"/>
      <c r="K45" s="44"/>
      <c r="L45" s="44"/>
      <c r="M45" s="44"/>
      <c r="N45" s="72"/>
      <c r="O45" s="73"/>
      <c r="P45" s="44" t="str">
        <f t="shared" si="0"/>
        <v/>
      </c>
      <c r="Q45" s="44"/>
      <c r="R45" s="44"/>
      <c r="S45" s="44"/>
      <c r="T45" s="44"/>
      <c r="U45" s="44"/>
      <c r="V45" s="44"/>
      <c r="W45" s="44"/>
      <c r="X45" s="44"/>
      <c r="Y45" s="44"/>
      <c r="Z45" s="44"/>
    </row>
    <row r="46" spans="1:26" ht="17.45" customHeight="1" x14ac:dyDescent="0.25">
      <c r="A46" s="78"/>
      <c r="B46" s="78"/>
      <c r="C46" s="44"/>
      <c r="D46" s="84"/>
      <c r="E46" s="83"/>
      <c r="F46" s="83"/>
      <c r="G46" s="44"/>
      <c r="H46" s="44"/>
      <c r="I46" s="71"/>
      <c r="J46" s="44"/>
      <c r="K46" s="44"/>
      <c r="L46" s="44"/>
      <c r="M46" s="44"/>
      <c r="N46" s="72"/>
      <c r="O46" s="73"/>
      <c r="P46" s="44" t="str">
        <f t="shared" si="0"/>
        <v/>
      </c>
      <c r="Q46" s="44"/>
      <c r="R46" s="44"/>
      <c r="S46" s="44"/>
      <c r="T46" s="44"/>
      <c r="U46" s="44"/>
      <c r="V46" s="44"/>
      <c r="W46" s="44"/>
      <c r="X46" s="44"/>
      <c r="Y46" s="44"/>
      <c r="Z46" s="44"/>
    </row>
    <row r="47" spans="1:26" ht="17.45" customHeight="1" x14ac:dyDescent="0.25">
      <c r="A47" s="78"/>
      <c r="B47" s="78"/>
      <c r="C47" s="44"/>
      <c r="D47" s="84"/>
      <c r="E47" s="83"/>
      <c r="F47" s="83"/>
      <c r="G47" s="44"/>
      <c r="H47" s="44"/>
      <c r="I47" s="71"/>
      <c r="J47" s="44"/>
      <c r="K47" s="44"/>
      <c r="L47" s="44"/>
      <c r="M47" s="44"/>
      <c r="N47" s="72"/>
      <c r="O47" s="73"/>
      <c r="P47" s="44" t="str">
        <f t="shared" si="0"/>
        <v/>
      </c>
      <c r="Q47" s="44"/>
      <c r="R47" s="44"/>
      <c r="S47" s="44"/>
      <c r="T47" s="44"/>
      <c r="U47" s="44"/>
      <c r="V47" s="44"/>
      <c r="W47" s="44"/>
      <c r="X47" s="44"/>
      <c r="Y47" s="44"/>
      <c r="Z47" s="44"/>
    </row>
    <row r="48" spans="1:26" ht="17.45" customHeight="1" x14ac:dyDescent="0.25">
      <c r="A48" s="78"/>
      <c r="B48" s="78"/>
      <c r="C48" s="44"/>
      <c r="D48" s="84"/>
      <c r="E48" s="83"/>
      <c r="F48" s="83"/>
      <c r="G48" s="44"/>
      <c r="H48" s="44"/>
      <c r="I48" s="71"/>
      <c r="J48" s="44"/>
      <c r="K48" s="44"/>
      <c r="L48" s="44"/>
      <c r="M48" s="44"/>
      <c r="N48" s="72"/>
      <c r="O48" s="73"/>
      <c r="P48" s="44" t="str">
        <f t="shared" si="0"/>
        <v/>
      </c>
      <c r="Q48" s="44"/>
      <c r="R48" s="44"/>
      <c r="S48" s="44"/>
      <c r="T48" s="44"/>
      <c r="U48" s="44"/>
      <c r="V48" s="44"/>
      <c r="W48" s="44"/>
      <c r="X48" s="44"/>
      <c r="Y48" s="44"/>
      <c r="Z48" s="44"/>
    </row>
    <row r="49" spans="1:26" ht="17.45" customHeight="1" x14ac:dyDescent="0.25">
      <c r="A49" s="78"/>
      <c r="B49" s="78"/>
      <c r="C49" s="44"/>
      <c r="D49" s="84"/>
      <c r="E49" s="83"/>
      <c r="F49" s="83"/>
      <c r="G49" s="44"/>
      <c r="H49" s="44"/>
      <c r="I49" s="71"/>
      <c r="J49" s="44"/>
      <c r="K49" s="44"/>
      <c r="L49" s="44"/>
      <c r="M49" s="44"/>
      <c r="N49" s="72"/>
      <c r="O49" s="73"/>
      <c r="P49" s="44" t="str">
        <f t="shared" si="0"/>
        <v/>
      </c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26" ht="17.45" customHeight="1" x14ac:dyDescent="0.25">
      <c r="A50" s="78"/>
      <c r="B50" s="78"/>
      <c r="C50" s="44"/>
      <c r="D50" s="84"/>
      <c r="E50" s="83"/>
      <c r="F50" s="83"/>
      <c r="G50" s="44"/>
      <c r="H50" s="44"/>
      <c r="I50" s="71"/>
      <c r="J50" s="44"/>
      <c r="K50" s="44"/>
      <c r="L50" s="44"/>
      <c r="M50" s="44"/>
      <c r="N50" s="72"/>
      <c r="O50" s="73"/>
      <c r="P50" s="44" t="str">
        <f t="shared" si="0"/>
        <v/>
      </c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26" ht="17.45" customHeight="1" x14ac:dyDescent="0.25">
      <c r="A51" s="78"/>
      <c r="B51" s="78"/>
      <c r="C51" s="44"/>
      <c r="D51" s="84"/>
      <c r="E51" s="83"/>
      <c r="F51" s="83"/>
      <c r="G51" s="44"/>
      <c r="H51" s="44"/>
      <c r="I51" s="71"/>
      <c r="J51" s="44"/>
      <c r="K51" s="44"/>
      <c r="L51" s="44"/>
      <c r="M51" s="44"/>
      <c r="N51" s="72"/>
      <c r="O51" s="73"/>
      <c r="P51" s="44" t="str">
        <f t="shared" si="0"/>
        <v/>
      </c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26" ht="17.45" customHeight="1" x14ac:dyDescent="0.25">
      <c r="A52" s="78"/>
      <c r="B52" s="78"/>
      <c r="C52" s="44"/>
      <c r="D52" s="84"/>
      <c r="E52" s="83"/>
      <c r="F52" s="83"/>
      <c r="G52" s="44"/>
      <c r="H52" s="44"/>
      <c r="I52" s="71"/>
      <c r="J52" s="44"/>
      <c r="K52" s="44"/>
      <c r="L52" s="44"/>
      <c r="M52" s="44"/>
      <c r="N52" s="72"/>
      <c r="O52" s="73"/>
      <c r="P52" s="44" t="str">
        <f t="shared" si="0"/>
        <v/>
      </c>
      <c r="Q52" s="44"/>
      <c r="R52" s="44"/>
      <c r="S52" s="44"/>
      <c r="T52" s="44"/>
      <c r="U52" s="44"/>
      <c r="V52" s="44"/>
      <c r="W52" s="44"/>
      <c r="X52" s="44"/>
      <c r="Y52" s="44"/>
      <c r="Z52" s="44"/>
    </row>
    <row r="53" spans="1:26" ht="17.45" customHeight="1" x14ac:dyDescent="0.25">
      <c r="A53" s="78"/>
      <c r="B53" s="78"/>
      <c r="C53" s="44"/>
      <c r="D53" s="84"/>
      <c r="E53" s="83"/>
      <c r="F53" s="83"/>
      <c r="G53" s="44"/>
      <c r="H53" s="44"/>
      <c r="I53" s="71"/>
      <c r="J53" s="44"/>
      <c r="K53" s="44"/>
      <c r="L53" s="44"/>
      <c r="M53" s="44"/>
      <c r="N53" s="72"/>
      <c r="O53" s="73"/>
      <c r="P53" s="44" t="str">
        <f t="shared" si="0"/>
        <v/>
      </c>
      <c r="Q53" s="44"/>
      <c r="R53" s="44"/>
      <c r="S53" s="44"/>
      <c r="T53" s="44"/>
      <c r="U53" s="44"/>
      <c r="V53" s="44"/>
      <c r="W53" s="44"/>
      <c r="X53" s="44"/>
      <c r="Y53" s="44"/>
      <c r="Z53" s="44"/>
    </row>
    <row r="54" spans="1:26" ht="17.45" customHeight="1" x14ac:dyDescent="0.25">
      <c r="A54" s="78"/>
      <c r="B54" s="78"/>
      <c r="C54" s="44"/>
      <c r="D54" s="84"/>
      <c r="E54" s="83"/>
      <c r="F54" s="83"/>
      <c r="G54" s="44"/>
      <c r="H54" s="44"/>
      <c r="I54" s="71"/>
      <c r="J54" s="44"/>
      <c r="K54" s="44"/>
      <c r="L54" s="44"/>
      <c r="M54" s="44"/>
      <c r="N54" s="72"/>
      <c r="O54" s="73"/>
      <c r="P54" s="44" t="str">
        <f t="shared" si="0"/>
        <v/>
      </c>
      <c r="Q54" s="44"/>
      <c r="R54" s="44"/>
      <c r="S54" s="44"/>
      <c r="T54" s="44"/>
      <c r="U54" s="44"/>
      <c r="V54" s="44"/>
      <c r="W54" s="44"/>
      <c r="X54" s="44"/>
      <c r="Y54" s="44"/>
      <c r="Z54" s="44"/>
    </row>
    <row r="55" spans="1:26" ht="17.45" customHeight="1" x14ac:dyDescent="0.25">
      <c r="A55" s="78"/>
      <c r="B55" s="78"/>
      <c r="C55" s="44"/>
      <c r="D55" s="84"/>
      <c r="E55" s="83"/>
      <c r="F55" s="83"/>
      <c r="G55" s="44"/>
      <c r="H55" s="44"/>
      <c r="I55" s="71"/>
      <c r="J55" s="44"/>
      <c r="K55" s="44"/>
      <c r="L55" s="44"/>
      <c r="M55" s="44"/>
      <c r="N55" s="72"/>
      <c r="O55" s="73"/>
      <c r="P55" s="44" t="str">
        <f t="shared" si="0"/>
        <v/>
      </c>
      <c r="Q55" s="44"/>
      <c r="R55" s="44"/>
      <c r="S55" s="44"/>
      <c r="T55" s="44"/>
      <c r="U55" s="44"/>
      <c r="V55" s="44"/>
      <c r="W55" s="44"/>
      <c r="X55" s="44"/>
      <c r="Y55" s="44"/>
      <c r="Z55" s="44"/>
    </row>
    <row r="56" spans="1:26" ht="17.45" customHeight="1" x14ac:dyDescent="0.25">
      <c r="A56" s="78"/>
      <c r="B56" s="78"/>
      <c r="C56" s="44"/>
      <c r="D56" s="84"/>
      <c r="E56" s="83"/>
      <c r="F56" s="83"/>
      <c r="G56" s="44"/>
      <c r="H56" s="44"/>
      <c r="I56" s="71"/>
      <c r="J56" s="44"/>
      <c r="K56" s="44"/>
      <c r="L56" s="44"/>
      <c r="M56" s="44"/>
      <c r="N56" s="72"/>
      <c r="O56" s="73"/>
      <c r="P56" s="44" t="str">
        <f t="shared" si="0"/>
        <v/>
      </c>
      <c r="Q56" s="44"/>
      <c r="R56" s="44"/>
      <c r="S56" s="44"/>
      <c r="T56" s="44"/>
      <c r="U56" s="44"/>
      <c r="V56" s="44"/>
      <c r="W56" s="44"/>
      <c r="X56" s="44"/>
      <c r="Y56" s="44"/>
      <c r="Z56" s="44"/>
    </row>
    <row r="57" spans="1:26" ht="17.45" customHeight="1" x14ac:dyDescent="0.25">
      <c r="A57" s="78"/>
      <c r="B57" s="78"/>
      <c r="C57" s="44"/>
      <c r="D57" s="84"/>
      <c r="E57" s="83"/>
      <c r="F57" s="83"/>
      <c r="G57" s="44"/>
      <c r="H57" s="44"/>
      <c r="I57" s="71"/>
      <c r="J57" s="44"/>
      <c r="K57" s="44"/>
      <c r="L57" s="44"/>
      <c r="M57" s="44"/>
      <c r="N57" s="72"/>
      <c r="O57" s="73"/>
      <c r="P57" s="44" t="str">
        <f t="shared" si="0"/>
        <v/>
      </c>
      <c r="Q57" s="44"/>
      <c r="R57" s="44"/>
      <c r="S57" s="44"/>
      <c r="T57" s="44"/>
      <c r="U57" s="44"/>
      <c r="V57" s="44"/>
      <c r="W57" s="44"/>
      <c r="X57" s="44"/>
      <c r="Y57" s="44"/>
      <c r="Z57" s="44"/>
    </row>
    <row r="58" spans="1:26" ht="17.45" customHeight="1" x14ac:dyDescent="0.25">
      <c r="A58" s="78"/>
      <c r="B58" s="78"/>
      <c r="C58" s="44"/>
      <c r="D58" s="84"/>
      <c r="E58" s="83"/>
      <c r="F58" s="83"/>
      <c r="G58" s="44"/>
      <c r="H58" s="44"/>
      <c r="I58" s="71"/>
      <c r="J58" s="44"/>
      <c r="K58" s="44"/>
      <c r="L58" s="44"/>
      <c r="M58" s="44"/>
      <c r="N58" s="72"/>
      <c r="O58" s="73"/>
      <c r="P58" s="44" t="str">
        <f t="shared" si="0"/>
        <v/>
      </c>
      <c r="Q58" s="44"/>
      <c r="R58" s="44"/>
      <c r="S58" s="44"/>
      <c r="T58" s="44"/>
      <c r="U58" s="44"/>
      <c r="V58" s="44"/>
      <c r="W58" s="44"/>
      <c r="X58" s="44"/>
      <c r="Y58" s="44"/>
      <c r="Z58" s="44"/>
    </row>
    <row r="59" spans="1:26" ht="17.45" customHeight="1" x14ac:dyDescent="0.25">
      <c r="A59" s="78"/>
      <c r="B59" s="78"/>
      <c r="C59" s="44"/>
      <c r="D59" s="84"/>
      <c r="E59" s="83"/>
      <c r="F59" s="83"/>
      <c r="G59" s="44"/>
      <c r="H59" s="44"/>
      <c r="I59" s="71"/>
      <c r="J59" s="44"/>
      <c r="K59" s="44"/>
      <c r="L59" s="44"/>
      <c r="M59" s="44"/>
      <c r="N59" s="72"/>
      <c r="O59" s="73"/>
      <c r="P59" s="44" t="str">
        <f t="shared" si="0"/>
        <v/>
      </c>
      <c r="Q59" s="44"/>
      <c r="R59" s="44"/>
      <c r="S59" s="44"/>
      <c r="T59" s="44"/>
      <c r="U59" s="44"/>
      <c r="V59" s="44"/>
      <c r="W59" s="44"/>
      <c r="X59" s="44"/>
      <c r="Y59" s="44"/>
      <c r="Z59" s="44"/>
    </row>
    <row r="60" spans="1:26" x14ac:dyDescent="0.25">
      <c r="A60" s="78"/>
      <c r="B60" s="78"/>
      <c r="C60" s="44"/>
      <c r="D60" s="84"/>
      <c r="E60" s="83"/>
      <c r="F60" s="83"/>
      <c r="G60" s="44"/>
      <c r="H60" s="44"/>
      <c r="I60" s="71"/>
      <c r="J60" s="44"/>
      <c r="K60" s="44"/>
      <c r="L60" s="44"/>
      <c r="M60" s="44"/>
      <c r="N60" s="72"/>
      <c r="O60" s="73"/>
      <c r="P60" s="44" t="str">
        <f t="shared" si="0"/>
        <v/>
      </c>
      <c r="Q60" s="44"/>
      <c r="R60" s="44"/>
      <c r="S60" s="44"/>
      <c r="T60" s="44"/>
      <c r="U60" s="44"/>
      <c r="V60" s="44"/>
      <c r="W60" s="44"/>
      <c r="X60" s="44"/>
      <c r="Y60" s="44"/>
      <c r="Z60" s="44"/>
    </row>
    <row r="61" spans="1:26" x14ac:dyDescent="0.25">
      <c r="A61" s="78"/>
      <c r="B61" s="78"/>
      <c r="C61" s="44"/>
      <c r="D61" s="84"/>
      <c r="E61" s="83"/>
      <c r="F61" s="83"/>
      <c r="G61" s="44"/>
      <c r="H61" s="44"/>
      <c r="I61" s="71"/>
      <c r="J61" s="44"/>
      <c r="K61" s="44"/>
      <c r="L61" s="44"/>
      <c r="M61" s="44"/>
      <c r="N61" s="72"/>
      <c r="O61" s="73"/>
      <c r="P61" s="44" t="str">
        <f t="shared" si="0"/>
        <v/>
      </c>
      <c r="Q61" s="44"/>
      <c r="R61" s="44"/>
      <c r="S61" s="44"/>
      <c r="T61" s="44"/>
      <c r="U61" s="44"/>
      <c r="V61" s="44"/>
      <c r="W61" s="44"/>
      <c r="X61" s="44"/>
      <c r="Y61" s="44"/>
      <c r="Z61" s="44"/>
    </row>
    <row r="62" spans="1:26" x14ac:dyDescent="0.25">
      <c r="A62" s="78"/>
      <c r="B62" s="78"/>
      <c r="C62" s="44"/>
      <c r="D62" s="84"/>
      <c r="E62" s="83"/>
      <c r="F62" s="83"/>
      <c r="G62" s="44"/>
      <c r="H62" s="44"/>
      <c r="I62" s="71"/>
      <c r="J62" s="44"/>
      <c r="K62" s="44"/>
      <c r="L62" s="44"/>
      <c r="M62" s="44"/>
      <c r="N62" s="72"/>
      <c r="O62" s="73"/>
      <c r="P62" s="44" t="str">
        <f t="shared" si="0"/>
        <v/>
      </c>
      <c r="Q62" s="44"/>
      <c r="R62" s="44"/>
      <c r="S62" s="44"/>
      <c r="T62" s="44"/>
      <c r="U62" s="44"/>
      <c r="V62" s="44"/>
      <c r="W62" s="44"/>
      <c r="X62" s="44"/>
      <c r="Y62" s="44"/>
      <c r="Z62" s="44"/>
    </row>
    <row r="63" spans="1:26" x14ac:dyDescent="0.25">
      <c r="A63" s="78"/>
      <c r="B63" s="78"/>
      <c r="C63" s="44"/>
      <c r="D63" s="84"/>
      <c r="E63" s="83"/>
      <c r="F63" s="83"/>
      <c r="G63" s="44"/>
      <c r="H63" s="44"/>
      <c r="I63" s="71"/>
      <c r="J63" s="44"/>
      <c r="K63" s="44"/>
      <c r="L63" s="44"/>
      <c r="M63" s="44"/>
      <c r="N63" s="72"/>
      <c r="O63" s="73"/>
      <c r="P63" s="44" t="str">
        <f t="shared" si="0"/>
        <v/>
      </c>
      <c r="Q63" s="44"/>
      <c r="R63" s="44"/>
      <c r="S63" s="44"/>
      <c r="T63" s="44"/>
      <c r="U63" s="44"/>
      <c r="V63" s="44"/>
      <c r="W63" s="44"/>
      <c r="X63" s="44"/>
      <c r="Y63" s="44"/>
      <c r="Z63" s="44"/>
    </row>
    <row r="64" spans="1:26" x14ac:dyDescent="0.25">
      <c r="A64" s="78"/>
      <c r="B64" s="78"/>
      <c r="C64" s="44"/>
      <c r="D64" s="84"/>
      <c r="E64" s="83"/>
      <c r="F64" s="83"/>
      <c r="G64" s="44"/>
      <c r="H64" s="44"/>
      <c r="I64" s="71"/>
      <c r="J64" s="44"/>
      <c r="K64" s="44"/>
      <c r="L64" s="44"/>
      <c r="M64" s="44"/>
      <c r="N64" s="72"/>
      <c r="O64" s="73"/>
      <c r="P64" s="44" t="str">
        <f t="shared" si="0"/>
        <v/>
      </c>
      <c r="Q64" s="44"/>
      <c r="R64" s="44"/>
      <c r="S64" s="44"/>
      <c r="T64" s="44"/>
      <c r="U64" s="44"/>
      <c r="V64" s="44"/>
      <c r="W64" s="44"/>
      <c r="X64" s="44"/>
      <c r="Y64" s="44"/>
      <c r="Z64" s="44"/>
    </row>
    <row r="65" spans="1:26" x14ac:dyDescent="0.25">
      <c r="A65" s="78"/>
      <c r="B65" s="78"/>
      <c r="C65" s="44"/>
      <c r="D65" s="84"/>
      <c r="E65" s="83"/>
      <c r="F65" s="83"/>
      <c r="G65" s="44"/>
      <c r="H65" s="44"/>
      <c r="I65" s="71"/>
      <c r="J65" s="44"/>
      <c r="K65" s="44"/>
      <c r="L65" s="44"/>
      <c r="M65" s="44"/>
      <c r="N65" s="72"/>
      <c r="O65" s="73"/>
      <c r="P65" s="44" t="str">
        <f t="shared" si="0"/>
        <v/>
      </c>
      <c r="Q65" s="44"/>
      <c r="R65" s="44"/>
      <c r="S65" s="44"/>
      <c r="T65" s="44"/>
      <c r="U65" s="44"/>
      <c r="V65" s="44"/>
      <c r="W65" s="44"/>
      <c r="X65" s="44"/>
      <c r="Y65" s="44"/>
      <c r="Z65" s="44"/>
    </row>
    <row r="66" spans="1:26" x14ac:dyDescent="0.25">
      <c r="A66" s="78"/>
      <c r="B66" s="78"/>
      <c r="C66" s="44"/>
      <c r="D66" s="84"/>
      <c r="E66" s="83"/>
      <c r="F66" s="83"/>
      <c r="G66" s="44"/>
      <c r="H66" s="44"/>
      <c r="I66" s="71"/>
      <c r="J66" s="44"/>
      <c r="K66" s="44"/>
      <c r="L66" s="44"/>
      <c r="M66" s="44"/>
      <c r="N66" s="72"/>
      <c r="O66" s="73"/>
      <c r="P66" s="44" t="str">
        <f t="shared" si="0"/>
        <v/>
      </c>
      <c r="Q66" s="44"/>
      <c r="R66" s="44"/>
      <c r="S66" s="44"/>
      <c r="T66" s="44"/>
      <c r="U66" s="44"/>
      <c r="V66" s="44"/>
      <c r="W66" s="44"/>
      <c r="X66" s="44"/>
      <c r="Y66" s="44"/>
      <c r="Z66" s="44"/>
    </row>
    <row r="67" spans="1:26" x14ac:dyDescent="0.25">
      <c r="A67" s="78"/>
      <c r="B67" s="78"/>
      <c r="C67" s="44"/>
      <c r="D67" s="84"/>
      <c r="E67" s="83"/>
      <c r="F67" s="83"/>
      <c r="G67" s="44"/>
      <c r="H67" s="44"/>
      <c r="I67" s="71"/>
      <c r="J67" s="44"/>
      <c r="K67" s="44"/>
      <c r="L67" s="44"/>
      <c r="M67" s="44"/>
      <c r="N67" s="72"/>
      <c r="O67" s="73"/>
      <c r="P67" s="44" t="str">
        <f t="shared" si="0"/>
        <v/>
      </c>
      <c r="Q67" s="44"/>
      <c r="R67" s="44"/>
      <c r="S67" s="44"/>
      <c r="T67" s="44"/>
      <c r="U67" s="44"/>
      <c r="V67" s="44"/>
      <c r="W67" s="44"/>
      <c r="X67" s="44"/>
      <c r="Y67" s="44"/>
      <c r="Z67" s="44"/>
    </row>
    <row r="68" spans="1:26" x14ac:dyDescent="0.25">
      <c r="A68" s="78"/>
      <c r="B68" s="78"/>
      <c r="C68" s="44"/>
      <c r="D68" s="84"/>
      <c r="E68" s="83"/>
      <c r="F68" s="83"/>
      <c r="G68" s="44"/>
      <c r="H68" s="44"/>
      <c r="I68" s="71"/>
      <c r="J68" s="44"/>
      <c r="K68" s="44"/>
      <c r="L68" s="44"/>
      <c r="M68" s="44"/>
      <c r="N68" s="72"/>
      <c r="O68" s="73"/>
      <c r="P68" s="44" t="str">
        <f t="shared" si="0"/>
        <v/>
      </c>
      <c r="Q68" s="44"/>
      <c r="R68" s="44"/>
      <c r="S68" s="44"/>
      <c r="T68" s="44"/>
      <c r="U68" s="44"/>
      <c r="V68" s="44"/>
      <c r="W68" s="44"/>
      <c r="X68" s="44"/>
      <c r="Y68" s="44"/>
      <c r="Z68" s="44"/>
    </row>
    <row r="69" spans="1:26" x14ac:dyDescent="0.25">
      <c r="A69" s="78"/>
      <c r="B69" s="78"/>
      <c r="C69" s="44"/>
      <c r="D69" s="84"/>
      <c r="E69" s="83"/>
      <c r="F69" s="83"/>
      <c r="G69" s="44"/>
      <c r="H69" s="44"/>
      <c r="I69" s="71"/>
      <c r="J69" s="44"/>
      <c r="K69" s="44"/>
      <c r="L69" s="44"/>
      <c r="M69" s="44"/>
      <c r="N69" s="72"/>
      <c r="O69" s="73"/>
      <c r="P69" s="44" t="str">
        <f t="shared" si="0"/>
        <v/>
      </c>
      <c r="Q69" s="44"/>
      <c r="R69" s="44"/>
      <c r="S69" s="44"/>
      <c r="T69" s="44"/>
      <c r="U69" s="44"/>
      <c r="V69" s="44"/>
      <c r="W69" s="44"/>
      <c r="X69" s="44"/>
      <c r="Y69" s="44"/>
      <c r="Z69" s="44"/>
    </row>
    <row r="70" spans="1:26" x14ac:dyDescent="0.25">
      <c r="A70" s="78"/>
      <c r="B70" s="78"/>
      <c r="C70" s="44"/>
      <c r="D70" s="85"/>
      <c r="E70" s="86"/>
      <c r="F70" s="86"/>
      <c r="G70" s="44"/>
      <c r="H70" s="44"/>
      <c r="I70" s="71"/>
      <c r="J70" s="44"/>
      <c r="K70" s="44"/>
      <c r="L70" s="44"/>
      <c r="M70" s="44"/>
      <c r="N70" s="72"/>
      <c r="O70" s="73"/>
      <c r="P70" s="44" t="str">
        <f t="shared" si="0"/>
        <v/>
      </c>
      <c r="Q70" s="44"/>
      <c r="R70" s="44"/>
      <c r="S70" s="44"/>
      <c r="T70" s="44"/>
      <c r="U70" s="44"/>
      <c r="V70" s="44"/>
      <c r="W70" s="44"/>
      <c r="X70" s="44"/>
      <c r="Y70" s="44"/>
      <c r="Z70" s="44"/>
    </row>
    <row r="71" spans="1:26" x14ac:dyDescent="0.25">
      <c r="A71" s="78"/>
      <c r="B71" s="78"/>
      <c r="C71" s="44"/>
      <c r="D71" s="85"/>
      <c r="E71" s="86"/>
      <c r="F71" s="86"/>
      <c r="G71" s="44"/>
      <c r="H71" s="44"/>
      <c r="I71" s="71"/>
      <c r="J71" s="44"/>
      <c r="K71" s="44"/>
      <c r="L71" s="44"/>
      <c r="M71" s="44"/>
      <c r="N71" s="72"/>
      <c r="O71" s="73"/>
      <c r="P71" s="44" t="str">
        <f t="shared" ref="P71:P134" si="1">IF(I71="","",SUMIFS(OrderItems_Qty,OrderItems_Type,"PURCHASE",OrderItems_SKU,I71)-SUMIFS(OrderItems_Qty,OrderItems_Type,"SALE",OrderItems_SKU,I71))</f>
        <v/>
      </c>
      <c r="Q71" s="44"/>
      <c r="R71" s="44"/>
      <c r="S71" s="44"/>
      <c r="T71" s="44"/>
      <c r="U71" s="44"/>
      <c r="V71" s="44"/>
      <c r="W71" s="44"/>
      <c r="X71" s="44"/>
      <c r="Y71" s="44"/>
      <c r="Z71" s="44"/>
    </row>
    <row r="72" spans="1:26" x14ac:dyDescent="0.25">
      <c r="A72" s="78"/>
      <c r="B72" s="78"/>
      <c r="C72" s="44"/>
      <c r="D72" s="85"/>
      <c r="E72" s="86"/>
      <c r="F72" s="86"/>
      <c r="G72" s="44"/>
      <c r="H72" s="44"/>
      <c r="I72" s="71"/>
      <c r="J72" s="44"/>
      <c r="K72" s="44"/>
      <c r="L72" s="44"/>
      <c r="M72" s="44"/>
      <c r="N72" s="72"/>
      <c r="O72" s="73"/>
      <c r="P72" s="44" t="str">
        <f t="shared" si="1"/>
        <v/>
      </c>
      <c r="Q72" s="44"/>
      <c r="R72" s="44"/>
      <c r="S72" s="44"/>
      <c r="T72" s="44"/>
      <c r="U72" s="44"/>
      <c r="V72" s="44"/>
      <c r="W72" s="44"/>
      <c r="X72" s="44"/>
      <c r="Y72" s="44"/>
      <c r="Z72" s="44"/>
    </row>
    <row r="73" spans="1:26" x14ac:dyDescent="0.25">
      <c r="A73" s="78"/>
      <c r="B73" s="78"/>
      <c r="C73" s="44"/>
      <c r="D73" s="85"/>
      <c r="E73" s="86"/>
      <c r="F73" s="86"/>
      <c r="G73" s="44"/>
      <c r="H73" s="44"/>
      <c r="I73" s="71"/>
      <c r="J73" s="44"/>
      <c r="K73" s="44"/>
      <c r="L73" s="44"/>
      <c r="M73" s="44"/>
      <c r="N73" s="72"/>
      <c r="O73" s="73"/>
      <c r="P73" s="44" t="str">
        <f t="shared" si="1"/>
        <v/>
      </c>
      <c r="Q73" s="44"/>
      <c r="R73" s="44"/>
      <c r="S73" s="44"/>
      <c r="T73" s="44"/>
      <c r="U73" s="44"/>
      <c r="V73" s="44"/>
      <c r="W73" s="44"/>
      <c r="X73" s="44"/>
      <c r="Y73" s="44"/>
      <c r="Z73" s="44"/>
    </row>
    <row r="74" spans="1:26" x14ac:dyDescent="0.25">
      <c r="A74" s="78"/>
      <c r="B74" s="78"/>
      <c r="C74" s="44"/>
      <c r="D74" s="85"/>
      <c r="E74" s="86"/>
      <c r="F74" s="86"/>
      <c r="G74" s="44"/>
      <c r="H74" s="44"/>
      <c r="I74" s="71"/>
      <c r="J74" s="44"/>
      <c r="K74" s="44"/>
      <c r="L74" s="44"/>
      <c r="M74" s="44"/>
      <c r="N74" s="72"/>
      <c r="O74" s="73"/>
      <c r="P74" s="44" t="str">
        <f t="shared" si="1"/>
        <v/>
      </c>
      <c r="Q74" s="44"/>
      <c r="R74" s="44"/>
      <c r="S74" s="44"/>
      <c r="T74" s="44"/>
      <c r="U74" s="44"/>
      <c r="V74" s="44"/>
      <c r="W74" s="44"/>
      <c r="X74" s="44"/>
      <c r="Y74" s="44"/>
      <c r="Z74" s="44"/>
    </row>
    <row r="75" spans="1:26" x14ac:dyDescent="0.25">
      <c r="A75" s="78"/>
      <c r="B75" s="78"/>
      <c r="C75" s="44"/>
      <c r="D75" s="85"/>
      <c r="E75" s="86"/>
      <c r="F75" s="86"/>
      <c r="G75" s="44"/>
      <c r="H75" s="44"/>
      <c r="I75" s="71"/>
      <c r="J75" s="44"/>
      <c r="K75" s="44"/>
      <c r="L75" s="44"/>
      <c r="M75" s="44"/>
      <c r="N75" s="72"/>
      <c r="O75" s="73"/>
      <c r="P75" s="44" t="str">
        <f t="shared" si="1"/>
        <v/>
      </c>
      <c r="Q75" s="44"/>
      <c r="R75" s="44"/>
      <c r="S75" s="44"/>
      <c r="T75" s="44"/>
      <c r="U75" s="44"/>
      <c r="V75" s="44"/>
      <c r="W75" s="44"/>
      <c r="X75" s="44"/>
      <c r="Y75" s="44"/>
      <c r="Z75" s="44"/>
    </row>
    <row r="76" spans="1:26" x14ac:dyDescent="0.25">
      <c r="A76" s="78"/>
      <c r="B76" s="78"/>
      <c r="C76" s="44"/>
      <c r="D76" s="85"/>
      <c r="E76" s="86"/>
      <c r="F76" s="86"/>
      <c r="G76" s="44"/>
      <c r="H76" s="44"/>
      <c r="I76" s="71"/>
      <c r="J76" s="44"/>
      <c r="K76" s="44"/>
      <c r="L76" s="44"/>
      <c r="M76" s="44"/>
      <c r="N76" s="72"/>
      <c r="O76" s="73"/>
      <c r="P76" s="44" t="str">
        <f t="shared" si="1"/>
        <v/>
      </c>
      <c r="Q76" s="44"/>
      <c r="R76" s="44"/>
      <c r="S76" s="44"/>
      <c r="T76" s="44"/>
      <c r="U76" s="44"/>
      <c r="V76" s="44"/>
      <c r="W76" s="44"/>
      <c r="X76" s="44"/>
      <c r="Y76" s="44"/>
      <c r="Z76" s="44"/>
    </row>
    <row r="77" spans="1:26" x14ac:dyDescent="0.25">
      <c r="A77" s="78"/>
      <c r="B77" s="78"/>
      <c r="C77" s="44"/>
      <c r="D77" s="85"/>
      <c r="E77" s="86"/>
      <c r="F77" s="86"/>
      <c r="G77" s="44"/>
      <c r="H77" s="44"/>
      <c r="I77" s="71"/>
      <c r="J77" s="44"/>
      <c r="K77" s="44"/>
      <c r="L77" s="44"/>
      <c r="M77" s="44"/>
      <c r="N77" s="72"/>
      <c r="O77" s="73"/>
      <c r="P77" s="44" t="str">
        <f t="shared" si="1"/>
        <v/>
      </c>
      <c r="Q77" s="44"/>
      <c r="R77" s="44"/>
      <c r="S77" s="44"/>
      <c r="T77" s="44"/>
      <c r="U77" s="44"/>
      <c r="V77" s="44"/>
      <c r="W77" s="44"/>
      <c r="X77" s="44"/>
      <c r="Y77" s="44"/>
      <c r="Z77" s="44"/>
    </row>
    <row r="78" spans="1:26" x14ac:dyDescent="0.25">
      <c r="A78" s="78"/>
      <c r="B78" s="78"/>
      <c r="C78" s="44"/>
      <c r="D78" s="85"/>
      <c r="E78" s="86"/>
      <c r="F78" s="86"/>
      <c r="G78" s="44"/>
      <c r="H78" s="44"/>
      <c r="I78" s="71"/>
      <c r="J78" s="44"/>
      <c r="K78" s="44"/>
      <c r="L78" s="44"/>
      <c r="M78" s="44"/>
      <c r="N78" s="72"/>
      <c r="O78" s="73"/>
      <c r="P78" s="44" t="str">
        <f t="shared" si="1"/>
        <v/>
      </c>
      <c r="Q78" s="44"/>
      <c r="R78" s="44"/>
      <c r="S78" s="44"/>
      <c r="T78" s="44"/>
      <c r="U78" s="44"/>
      <c r="V78" s="44"/>
      <c r="W78" s="44"/>
      <c r="X78" s="44"/>
      <c r="Y78" s="44"/>
      <c r="Z78" s="44"/>
    </row>
    <row r="79" spans="1:26" x14ac:dyDescent="0.25">
      <c r="A79" s="78"/>
      <c r="B79" s="78"/>
      <c r="C79" s="44"/>
      <c r="D79" s="85"/>
      <c r="E79" s="86"/>
      <c r="F79" s="86"/>
      <c r="G79" s="44"/>
      <c r="H79" s="44"/>
      <c r="I79" s="71"/>
      <c r="J79" s="44"/>
      <c r="K79" s="44"/>
      <c r="L79" s="44"/>
      <c r="M79" s="44"/>
      <c r="N79" s="72"/>
      <c r="O79" s="73"/>
      <c r="P79" s="44" t="str">
        <f t="shared" si="1"/>
        <v/>
      </c>
      <c r="Q79" s="44"/>
      <c r="R79" s="44"/>
      <c r="S79" s="44"/>
      <c r="T79" s="44"/>
      <c r="U79" s="44"/>
      <c r="V79" s="44"/>
      <c r="W79" s="44"/>
      <c r="X79" s="44"/>
      <c r="Y79" s="44"/>
      <c r="Z79" s="44"/>
    </row>
    <row r="80" spans="1:26" x14ac:dyDescent="0.25">
      <c r="A80" s="78"/>
      <c r="B80" s="78"/>
      <c r="C80" s="44"/>
      <c r="D80" s="85"/>
      <c r="E80" s="86"/>
      <c r="F80" s="86"/>
      <c r="G80" s="44"/>
      <c r="H80" s="44"/>
      <c r="I80" s="71"/>
      <c r="J80" s="44"/>
      <c r="K80" s="44"/>
      <c r="L80" s="44"/>
      <c r="M80" s="44"/>
      <c r="N80" s="72"/>
      <c r="O80" s="73"/>
      <c r="P80" s="44" t="str">
        <f t="shared" si="1"/>
        <v/>
      </c>
      <c r="Q80" s="44"/>
      <c r="R80" s="44"/>
      <c r="S80" s="44"/>
      <c r="T80" s="44"/>
      <c r="U80" s="44"/>
      <c r="V80" s="44"/>
      <c r="W80" s="44"/>
      <c r="X80" s="44"/>
      <c r="Y80" s="44"/>
      <c r="Z80" s="44"/>
    </row>
    <row r="81" spans="1:26" x14ac:dyDescent="0.25">
      <c r="A81" s="78"/>
      <c r="B81" s="78"/>
      <c r="C81" s="44"/>
      <c r="D81" s="85"/>
      <c r="E81" s="86"/>
      <c r="F81" s="86"/>
      <c r="G81" s="44"/>
      <c r="H81" s="44"/>
      <c r="I81" s="71"/>
      <c r="J81" s="44"/>
      <c r="K81" s="44"/>
      <c r="L81" s="44"/>
      <c r="M81" s="44"/>
      <c r="N81" s="72"/>
      <c r="O81" s="73"/>
      <c r="P81" s="44" t="str">
        <f t="shared" si="1"/>
        <v/>
      </c>
      <c r="Q81" s="44"/>
      <c r="R81" s="44"/>
      <c r="S81" s="44"/>
      <c r="T81" s="44"/>
      <c r="U81" s="44"/>
      <c r="V81" s="44"/>
      <c r="W81" s="44"/>
      <c r="X81" s="44"/>
      <c r="Y81" s="44"/>
      <c r="Z81" s="44"/>
    </row>
    <row r="82" spans="1:26" x14ac:dyDescent="0.25">
      <c r="A82" s="78"/>
      <c r="B82" s="78"/>
      <c r="C82" s="44"/>
      <c r="D82" s="85"/>
      <c r="E82" s="86"/>
      <c r="F82" s="86"/>
      <c r="G82" s="44"/>
      <c r="H82" s="44"/>
      <c r="I82" s="71"/>
      <c r="J82" s="44"/>
      <c r="K82" s="44"/>
      <c r="L82" s="44"/>
      <c r="M82" s="44"/>
      <c r="N82" s="72"/>
      <c r="O82" s="73"/>
      <c r="P82" s="44" t="str">
        <f t="shared" si="1"/>
        <v/>
      </c>
      <c r="Q82" s="44"/>
      <c r="R82" s="44"/>
      <c r="S82" s="44"/>
      <c r="T82" s="44"/>
      <c r="U82" s="44"/>
      <c r="V82" s="44"/>
      <c r="W82" s="44"/>
      <c r="X82" s="44"/>
      <c r="Y82" s="44"/>
      <c r="Z82" s="44"/>
    </row>
    <row r="83" spans="1:26" x14ac:dyDescent="0.25">
      <c r="A83" s="78"/>
      <c r="B83" s="78"/>
      <c r="C83" s="44"/>
      <c r="D83" s="85"/>
      <c r="E83" s="86"/>
      <c r="F83" s="86"/>
      <c r="G83" s="44"/>
      <c r="H83" s="44"/>
      <c r="I83" s="71"/>
      <c r="J83" s="44"/>
      <c r="K83" s="44"/>
      <c r="L83" s="44"/>
      <c r="M83" s="44"/>
      <c r="N83" s="72"/>
      <c r="O83" s="73"/>
      <c r="P83" s="44" t="str">
        <f t="shared" si="1"/>
        <v/>
      </c>
      <c r="Q83" s="44"/>
      <c r="R83" s="44"/>
      <c r="S83" s="44"/>
      <c r="T83" s="44"/>
      <c r="U83" s="44"/>
      <c r="V83" s="44"/>
      <c r="W83" s="44"/>
      <c r="X83" s="44"/>
      <c r="Y83" s="44"/>
      <c r="Z83" s="44"/>
    </row>
    <row r="84" spans="1:26" x14ac:dyDescent="0.25">
      <c r="A84" s="78"/>
      <c r="B84" s="78"/>
      <c r="C84" s="44"/>
      <c r="D84" s="85"/>
      <c r="E84" s="86"/>
      <c r="F84" s="86"/>
      <c r="G84" s="44"/>
      <c r="H84" s="44"/>
      <c r="I84" s="71"/>
      <c r="J84" s="44"/>
      <c r="K84" s="44"/>
      <c r="L84" s="44"/>
      <c r="M84" s="44"/>
      <c r="N84" s="72"/>
      <c r="O84" s="73"/>
      <c r="P84" s="44" t="str">
        <f t="shared" si="1"/>
        <v/>
      </c>
      <c r="Q84" s="44"/>
      <c r="R84" s="44"/>
      <c r="S84" s="44"/>
      <c r="T84" s="44"/>
      <c r="U84" s="44"/>
      <c r="V84" s="44"/>
      <c r="W84" s="44"/>
      <c r="X84" s="44"/>
      <c r="Y84" s="44"/>
      <c r="Z84" s="44"/>
    </row>
    <row r="85" spans="1:26" x14ac:dyDescent="0.25">
      <c r="A85" s="78"/>
      <c r="B85" s="78"/>
      <c r="C85" s="44"/>
      <c r="D85" s="85"/>
      <c r="E85" s="86"/>
      <c r="F85" s="86"/>
      <c r="G85" s="44"/>
      <c r="H85" s="44"/>
      <c r="I85" s="71"/>
      <c r="J85" s="44"/>
      <c r="K85" s="44"/>
      <c r="L85" s="44"/>
      <c r="M85" s="44"/>
      <c r="N85" s="72"/>
      <c r="O85" s="73"/>
      <c r="P85" s="44" t="str">
        <f t="shared" si="1"/>
        <v/>
      </c>
      <c r="Q85" s="44"/>
      <c r="R85" s="44"/>
      <c r="S85" s="44"/>
      <c r="T85" s="44"/>
      <c r="U85" s="44"/>
      <c r="V85" s="44"/>
      <c r="W85" s="44"/>
      <c r="X85" s="44"/>
      <c r="Y85" s="44"/>
      <c r="Z85" s="44"/>
    </row>
    <row r="86" spans="1:26" x14ac:dyDescent="0.25">
      <c r="A86" s="78"/>
      <c r="B86" s="78"/>
      <c r="C86" s="44"/>
      <c r="D86" s="85"/>
      <c r="E86" s="86"/>
      <c r="F86" s="86"/>
      <c r="G86" s="44"/>
      <c r="H86" s="44"/>
      <c r="I86" s="71"/>
      <c r="J86" s="44"/>
      <c r="K86" s="44"/>
      <c r="L86" s="44"/>
      <c r="M86" s="44"/>
      <c r="N86" s="72"/>
      <c r="O86" s="73"/>
      <c r="P86" s="44" t="str">
        <f t="shared" si="1"/>
        <v/>
      </c>
      <c r="Q86" s="44"/>
      <c r="R86" s="44"/>
      <c r="S86" s="44"/>
      <c r="T86" s="44"/>
      <c r="U86" s="44"/>
      <c r="V86" s="44"/>
      <c r="W86" s="44"/>
      <c r="X86" s="44"/>
      <c r="Y86" s="44"/>
      <c r="Z86" s="44"/>
    </row>
    <row r="87" spans="1:26" x14ac:dyDescent="0.25">
      <c r="A87" s="78"/>
      <c r="B87" s="78"/>
      <c r="C87" s="44"/>
      <c r="D87" s="85"/>
      <c r="E87" s="86"/>
      <c r="F87" s="86"/>
      <c r="G87" s="44"/>
      <c r="H87" s="44"/>
      <c r="I87" s="71"/>
      <c r="J87" s="44"/>
      <c r="K87" s="44"/>
      <c r="L87" s="44"/>
      <c r="M87" s="44"/>
      <c r="N87" s="72"/>
      <c r="O87" s="73"/>
      <c r="P87" s="44" t="str">
        <f t="shared" si="1"/>
        <v/>
      </c>
      <c r="Q87" s="44"/>
      <c r="R87" s="44"/>
      <c r="S87" s="44"/>
      <c r="T87" s="44"/>
      <c r="U87" s="44"/>
      <c r="V87" s="44"/>
      <c r="W87" s="44"/>
      <c r="X87" s="44"/>
      <c r="Y87" s="44"/>
      <c r="Z87" s="44"/>
    </row>
    <row r="88" spans="1:26" x14ac:dyDescent="0.25">
      <c r="A88" s="78"/>
      <c r="B88" s="78"/>
      <c r="C88" s="44"/>
      <c r="D88" s="85"/>
      <c r="E88" s="86"/>
      <c r="F88" s="86"/>
      <c r="G88" s="44"/>
      <c r="H88" s="44"/>
      <c r="I88" s="71"/>
      <c r="J88" s="44"/>
      <c r="K88" s="44"/>
      <c r="L88" s="44"/>
      <c r="M88" s="44"/>
      <c r="N88" s="72"/>
      <c r="O88" s="73"/>
      <c r="P88" s="44" t="str">
        <f t="shared" si="1"/>
        <v/>
      </c>
      <c r="Q88" s="44"/>
      <c r="R88" s="44"/>
      <c r="S88" s="44"/>
      <c r="T88" s="44"/>
      <c r="U88" s="44"/>
      <c r="V88" s="44"/>
      <c r="W88" s="44"/>
      <c r="X88" s="44"/>
      <c r="Y88" s="44"/>
      <c r="Z88" s="44"/>
    </row>
    <row r="89" spans="1:26" x14ac:dyDescent="0.25">
      <c r="A89" s="78"/>
      <c r="B89" s="78"/>
      <c r="C89" s="44"/>
      <c r="D89" s="85"/>
      <c r="E89" s="86"/>
      <c r="F89" s="86"/>
      <c r="G89" s="44"/>
      <c r="H89" s="44"/>
      <c r="I89" s="71"/>
      <c r="J89" s="44"/>
      <c r="K89" s="44"/>
      <c r="L89" s="44"/>
      <c r="M89" s="44"/>
      <c r="N89" s="72"/>
      <c r="O89" s="73"/>
      <c r="P89" s="44" t="str">
        <f t="shared" si="1"/>
        <v/>
      </c>
      <c r="Q89" s="44"/>
      <c r="R89" s="44"/>
      <c r="S89" s="44"/>
      <c r="T89" s="44"/>
      <c r="U89" s="44"/>
      <c r="V89" s="44"/>
      <c r="W89" s="44"/>
      <c r="X89" s="44"/>
      <c r="Y89" s="44"/>
      <c r="Z89" s="44"/>
    </row>
    <row r="90" spans="1:26" x14ac:dyDescent="0.25">
      <c r="A90" s="78"/>
      <c r="B90" s="78"/>
      <c r="C90" s="44"/>
      <c r="D90" s="85"/>
      <c r="E90" s="86"/>
      <c r="F90" s="86"/>
      <c r="G90" s="44"/>
      <c r="H90" s="44"/>
      <c r="I90" s="71"/>
      <c r="J90" s="44"/>
      <c r="K90" s="44"/>
      <c r="L90" s="44"/>
      <c r="M90" s="44"/>
      <c r="N90" s="72"/>
      <c r="O90" s="73"/>
      <c r="P90" s="44" t="str">
        <f t="shared" si="1"/>
        <v/>
      </c>
      <c r="Q90" s="44"/>
      <c r="R90" s="44"/>
      <c r="S90" s="44"/>
      <c r="T90" s="44"/>
      <c r="U90" s="44"/>
      <c r="V90" s="44"/>
      <c r="W90" s="44"/>
      <c r="X90" s="44"/>
      <c r="Y90" s="44"/>
      <c r="Z90" s="44"/>
    </row>
    <row r="91" spans="1:26" x14ac:dyDescent="0.25">
      <c r="A91" s="78"/>
      <c r="B91" s="78"/>
      <c r="C91" s="44"/>
      <c r="D91" s="85"/>
      <c r="E91" s="86"/>
      <c r="F91" s="86"/>
      <c r="G91" s="44"/>
      <c r="H91" s="44"/>
      <c r="I91" s="71"/>
      <c r="J91" s="44"/>
      <c r="K91" s="44"/>
      <c r="L91" s="44"/>
      <c r="M91" s="44"/>
      <c r="N91" s="72"/>
      <c r="O91" s="73"/>
      <c r="P91" s="44" t="str">
        <f t="shared" si="1"/>
        <v/>
      </c>
      <c r="Q91" s="44"/>
      <c r="R91" s="44"/>
      <c r="S91" s="44"/>
      <c r="T91" s="44"/>
      <c r="U91" s="44"/>
      <c r="V91" s="44"/>
      <c r="W91" s="44"/>
      <c r="X91" s="44"/>
      <c r="Y91" s="44"/>
      <c r="Z91" s="44"/>
    </row>
    <row r="92" spans="1:26" x14ac:dyDescent="0.25">
      <c r="A92" s="78"/>
      <c r="B92" s="78"/>
      <c r="C92" s="44"/>
      <c r="D92" s="85"/>
      <c r="E92" s="86"/>
      <c r="F92" s="86"/>
      <c r="G92" s="44"/>
      <c r="H92" s="44"/>
      <c r="I92" s="71"/>
      <c r="J92" s="44"/>
      <c r="K92" s="44"/>
      <c r="L92" s="44"/>
      <c r="M92" s="44"/>
      <c r="N92" s="72"/>
      <c r="O92" s="73"/>
      <c r="P92" s="44" t="str">
        <f t="shared" si="1"/>
        <v/>
      </c>
      <c r="Q92" s="44"/>
      <c r="R92" s="44"/>
      <c r="S92" s="44"/>
      <c r="T92" s="44"/>
      <c r="U92" s="44"/>
      <c r="V92" s="44"/>
      <c r="W92" s="44"/>
      <c r="X92" s="44"/>
      <c r="Y92" s="44"/>
      <c r="Z92" s="44"/>
    </row>
    <row r="93" spans="1:26" x14ac:dyDescent="0.25">
      <c r="A93" s="78"/>
      <c r="B93" s="78"/>
      <c r="C93" s="44"/>
      <c r="D93" s="85"/>
      <c r="E93" s="86"/>
      <c r="F93" s="86"/>
      <c r="G93" s="44"/>
      <c r="H93" s="44"/>
      <c r="I93" s="71"/>
      <c r="J93" s="44"/>
      <c r="K93" s="44"/>
      <c r="L93" s="44"/>
      <c r="M93" s="44"/>
      <c r="N93" s="72"/>
      <c r="O93" s="73"/>
      <c r="P93" s="44" t="str">
        <f t="shared" si="1"/>
        <v/>
      </c>
      <c r="Q93" s="44"/>
      <c r="R93" s="44"/>
      <c r="S93" s="44"/>
      <c r="T93" s="44"/>
      <c r="U93" s="44"/>
      <c r="V93" s="44"/>
      <c r="W93" s="44"/>
      <c r="X93" s="44"/>
      <c r="Y93" s="44"/>
      <c r="Z93" s="44"/>
    </row>
    <row r="94" spans="1:26" x14ac:dyDescent="0.25">
      <c r="A94" s="78"/>
      <c r="B94" s="78"/>
      <c r="C94" s="44"/>
      <c r="D94" s="85"/>
      <c r="E94" s="86"/>
      <c r="F94" s="86"/>
      <c r="G94" s="44"/>
      <c r="H94" s="44"/>
      <c r="I94" s="71"/>
      <c r="J94" s="44"/>
      <c r="K94" s="44"/>
      <c r="L94" s="44"/>
      <c r="M94" s="44"/>
      <c r="N94" s="72"/>
      <c r="O94" s="73"/>
      <c r="P94" s="44" t="str">
        <f t="shared" si="1"/>
        <v/>
      </c>
      <c r="Q94" s="44"/>
      <c r="R94" s="44"/>
      <c r="S94" s="44"/>
      <c r="T94" s="44"/>
      <c r="U94" s="44"/>
      <c r="V94" s="44"/>
      <c r="W94" s="44"/>
      <c r="X94" s="44"/>
      <c r="Y94" s="44"/>
      <c r="Z94" s="44"/>
    </row>
    <row r="95" spans="1:26" x14ac:dyDescent="0.25">
      <c r="A95" s="78"/>
      <c r="B95" s="78"/>
      <c r="C95" s="44"/>
      <c r="D95" s="85"/>
      <c r="E95" s="86"/>
      <c r="F95" s="86"/>
      <c r="G95" s="44"/>
      <c r="H95" s="44"/>
      <c r="I95" s="71"/>
      <c r="J95" s="44"/>
      <c r="K95" s="44"/>
      <c r="L95" s="44"/>
      <c r="M95" s="44"/>
      <c r="N95" s="72"/>
      <c r="O95" s="73"/>
      <c r="P95" s="44" t="str">
        <f t="shared" si="1"/>
        <v/>
      </c>
      <c r="Q95" s="44"/>
      <c r="R95" s="44"/>
      <c r="S95" s="44"/>
      <c r="T95" s="44"/>
      <c r="U95" s="44"/>
      <c r="V95" s="44"/>
      <c r="W95" s="44"/>
      <c r="X95" s="44"/>
      <c r="Y95" s="44"/>
      <c r="Z95" s="44"/>
    </row>
    <row r="96" spans="1:26" x14ac:dyDescent="0.25">
      <c r="A96" s="78"/>
      <c r="B96" s="78"/>
      <c r="C96" s="44"/>
      <c r="D96" s="85"/>
      <c r="E96" s="86"/>
      <c r="F96" s="86"/>
      <c r="G96" s="44"/>
      <c r="H96" s="44"/>
      <c r="I96" s="71"/>
      <c r="J96" s="44"/>
      <c r="K96" s="44"/>
      <c r="L96" s="44"/>
      <c r="M96" s="44"/>
      <c r="N96" s="72"/>
      <c r="O96" s="73"/>
      <c r="P96" s="44" t="str">
        <f t="shared" si="1"/>
        <v/>
      </c>
      <c r="Q96" s="44"/>
      <c r="R96" s="44"/>
      <c r="S96" s="44"/>
      <c r="T96" s="44"/>
      <c r="U96" s="44"/>
      <c r="V96" s="44"/>
      <c r="W96" s="44"/>
      <c r="X96" s="44"/>
      <c r="Y96" s="44"/>
      <c r="Z96" s="44"/>
    </row>
    <row r="97" spans="1:26" x14ac:dyDescent="0.25">
      <c r="A97" s="78"/>
      <c r="B97" s="78"/>
      <c r="C97" s="44"/>
      <c r="D97" s="85"/>
      <c r="E97" s="86"/>
      <c r="F97" s="86"/>
      <c r="G97" s="44"/>
      <c r="H97" s="44"/>
      <c r="I97" s="71"/>
      <c r="J97" s="44"/>
      <c r="K97" s="44"/>
      <c r="L97" s="44"/>
      <c r="M97" s="44"/>
      <c r="N97" s="72"/>
      <c r="O97" s="73"/>
      <c r="P97" s="44" t="str">
        <f t="shared" si="1"/>
        <v/>
      </c>
      <c r="Q97" s="44"/>
      <c r="R97" s="44"/>
      <c r="S97" s="44"/>
      <c r="T97" s="44"/>
      <c r="U97" s="44"/>
      <c r="V97" s="44"/>
      <c r="W97" s="44"/>
      <c r="X97" s="44"/>
      <c r="Y97" s="44"/>
      <c r="Z97" s="44"/>
    </row>
    <row r="98" spans="1:26" x14ac:dyDescent="0.25">
      <c r="A98" s="78"/>
      <c r="B98" s="78"/>
      <c r="C98" s="44"/>
      <c r="D98" s="85"/>
      <c r="E98" s="86"/>
      <c r="F98" s="86"/>
      <c r="G98" s="44"/>
      <c r="H98" s="44"/>
      <c r="I98" s="71"/>
      <c r="J98" s="44"/>
      <c r="K98" s="44"/>
      <c r="L98" s="44"/>
      <c r="M98" s="44"/>
      <c r="N98" s="72"/>
      <c r="O98" s="73"/>
      <c r="P98" s="44" t="str">
        <f t="shared" si="1"/>
        <v/>
      </c>
      <c r="Q98" s="44"/>
      <c r="R98" s="44"/>
      <c r="S98" s="44"/>
      <c r="T98" s="44"/>
      <c r="U98" s="44"/>
      <c r="V98" s="44"/>
      <c r="W98" s="44"/>
      <c r="X98" s="44"/>
      <c r="Y98" s="44"/>
      <c r="Z98" s="44"/>
    </row>
    <row r="99" spans="1:26" x14ac:dyDescent="0.25">
      <c r="A99" s="78"/>
      <c r="B99" s="78"/>
      <c r="C99" s="44"/>
      <c r="D99" s="85"/>
      <c r="E99" s="86"/>
      <c r="F99" s="86"/>
      <c r="G99" s="44"/>
      <c r="H99" s="44"/>
      <c r="I99" s="71"/>
      <c r="J99" s="44"/>
      <c r="K99" s="44"/>
      <c r="L99" s="44"/>
      <c r="M99" s="44"/>
      <c r="N99" s="72"/>
      <c r="O99" s="73"/>
      <c r="P99" s="44" t="str">
        <f t="shared" si="1"/>
        <v/>
      </c>
      <c r="Q99" s="44"/>
      <c r="R99" s="44"/>
      <c r="S99" s="44"/>
      <c r="T99" s="44"/>
      <c r="U99" s="44"/>
      <c r="V99" s="44"/>
      <c r="W99" s="44"/>
      <c r="X99" s="44"/>
      <c r="Y99" s="44"/>
      <c r="Z99" s="44"/>
    </row>
    <row r="100" spans="1:26" x14ac:dyDescent="0.25">
      <c r="A100" s="78"/>
      <c r="B100" s="78"/>
      <c r="C100" s="44"/>
      <c r="D100" s="85"/>
      <c r="E100" s="86"/>
      <c r="F100" s="86"/>
      <c r="G100" s="44"/>
      <c r="H100" s="44"/>
      <c r="I100" s="71"/>
      <c r="J100" s="44"/>
      <c r="K100" s="44"/>
      <c r="L100" s="44"/>
      <c r="M100" s="44"/>
      <c r="N100" s="72"/>
      <c r="O100" s="73"/>
      <c r="P100" s="44" t="str">
        <f t="shared" si="1"/>
        <v/>
      </c>
      <c r="Q100" s="44"/>
      <c r="R100" s="44"/>
      <c r="S100" s="44"/>
      <c r="T100" s="44"/>
      <c r="U100" s="44"/>
      <c r="V100" s="44"/>
      <c r="W100" s="44"/>
      <c r="X100" s="44"/>
      <c r="Y100" s="44"/>
      <c r="Z100" s="44"/>
    </row>
    <row r="101" spans="1:26" x14ac:dyDescent="0.25">
      <c r="A101" s="78"/>
      <c r="B101" s="78"/>
      <c r="C101" s="44"/>
      <c r="D101" s="85"/>
      <c r="E101" s="86"/>
      <c r="F101" s="86"/>
      <c r="G101" s="44"/>
      <c r="H101" s="44"/>
      <c r="I101" s="71"/>
      <c r="J101" s="44"/>
      <c r="K101" s="44"/>
      <c r="L101" s="44"/>
      <c r="M101" s="44"/>
      <c r="N101" s="72"/>
      <c r="O101" s="73"/>
      <c r="P101" s="44" t="str">
        <f t="shared" si="1"/>
        <v/>
      </c>
      <c r="Q101" s="44"/>
      <c r="R101" s="44"/>
      <c r="S101" s="44"/>
      <c r="T101" s="44"/>
      <c r="U101" s="44"/>
      <c r="V101" s="44"/>
      <c r="W101" s="44"/>
      <c r="X101" s="44"/>
      <c r="Y101" s="44"/>
      <c r="Z101" s="44"/>
    </row>
    <row r="102" spans="1:26" x14ac:dyDescent="0.25">
      <c r="A102" s="78"/>
      <c r="B102" s="78"/>
      <c r="C102" s="44"/>
      <c r="D102" s="85"/>
      <c r="E102" s="86"/>
      <c r="F102" s="86"/>
      <c r="G102" s="44"/>
      <c r="H102" s="44"/>
      <c r="I102" s="71"/>
      <c r="J102" s="44"/>
      <c r="K102" s="44"/>
      <c r="L102" s="44"/>
      <c r="M102" s="44"/>
      <c r="N102" s="72"/>
      <c r="O102" s="73"/>
      <c r="P102" s="44" t="str">
        <f t="shared" si="1"/>
        <v/>
      </c>
      <c r="Q102" s="44"/>
      <c r="R102" s="44"/>
      <c r="S102" s="44"/>
      <c r="T102" s="44"/>
      <c r="U102" s="44"/>
      <c r="V102" s="44"/>
      <c r="W102" s="44"/>
      <c r="X102" s="44"/>
      <c r="Y102" s="44"/>
      <c r="Z102" s="44"/>
    </row>
    <row r="103" spans="1:26" x14ac:dyDescent="0.25">
      <c r="A103" s="78"/>
      <c r="B103" s="78"/>
      <c r="C103" s="44"/>
      <c r="D103" s="85"/>
      <c r="E103" s="86"/>
      <c r="F103" s="86"/>
      <c r="G103" s="44"/>
      <c r="H103" s="44"/>
      <c r="I103" s="71"/>
      <c r="J103" s="44"/>
      <c r="K103" s="44"/>
      <c r="L103" s="44"/>
      <c r="M103" s="44"/>
      <c r="N103" s="72"/>
      <c r="O103" s="73"/>
      <c r="P103" s="44" t="str">
        <f t="shared" si="1"/>
        <v/>
      </c>
      <c r="Q103" s="44"/>
      <c r="R103" s="44"/>
      <c r="S103" s="44"/>
      <c r="T103" s="44"/>
      <c r="U103" s="44"/>
      <c r="V103" s="44"/>
      <c r="W103" s="44"/>
      <c r="X103" s="44"/>
      <c r="Y103" s="44"/>
      <c r="Z103" s="44"/>
    </row>
    <row r="104" spans="1:26" x14ac:dyDescent="0.25">
      <c r="A104" s="78"/>
      <c r="B104" s="78"/>
      <c r="C104" s="44"/>
      <c r="D104" s="85"/>
      <c r="E104" s="86"/>
      <c r="F104" s="86"/>
      <c r="G104" s="44"/>
      <c r="H104" s="44"/>
      <c r="I104" s="71"/>
      <c r="J104" s="44"/>
      <c r="K104" s="44"/>
      <c r="L104" s="44"/>
      <c r="M104" s="44"/>
      <c r="N104" s="72"/>
      <c r="O104" s="73"/>
      <c r="P104" s="44" t="str">
        <f t="shared" si="1"/>
        <v/>
      </c>
      <c r="Q104" s="44"/>
      <c r="R104" s="44"/>
      <c r="S104" s="44"/>
      <c r="T104" s="44"/>
      <c r="U104" s="44"/>
      <c r="V104" s="44"/>
      <c r="W104" s="44"/>
      <c r="X104" s="44"/>
      <c r="Y104" s="44"/>
      <c r="Z104" s="44"/>
    </row>
    <row r="105" spans="1:26" x14ac:dyDescent="0.25">
      <c r="A105" s="78"/>
      <c r="B105" s="78"/>
      <c r="C105" s="44"/>
      <c r="D105" s="85"/>
      <c r="E105" s="86"/>
      <c r="F105" s="86"/>
      <c r="G105" s="44"/>
      <c r="H105" s="44"/>
      <c r="I105" s="71"/>
      <c r="J105" s="44"/>
      <c r="K105" s="44"/>
      <c r="L105" s="44"/>
      <c r="M105" s="44"/>
      <c r="N105" s="72"/>
      <c r="O105" s="73"/>
      <c r="P105" s="44" t="str">
        <f t="shared" si="1"/>
        <v/>
      </c>
      <c r="Q105" s="44"/>
      <c r="R105" s="44"/>
      <c r="S105" s="44"/>
      <c r="T105" s="44"/>
      <c r="U105" s="44"/>
      <c r="V105" s="44"/>
      <c r="W105" s="44"/>
      <c r="X105" s="44"/>
      <c r="Y105" s="44"/>
      <c r="Z105" s="44"/>
    </row>
    <row r="106" spans="1:26" x14ac:dyDescent="0.25">
      <c r="A106" s="78"/>
      <c r="B106" s="78"/>
      <c r="C106" s="44"/>
      <c r="D106" s="85"/>
      <c r="E106" s="86"/>
      <c r="F106" s="86"/>
      <c r="G106" s="44"/>
      <c r="H106" s="44"/>
      <c r="I106" s="71"/>
      <c r="J106" s="44"/>
      <c r="K106" s="44"/>
      <c r="L106" s="44"/>
      <c r="M106" s="44"/>
      <c r="N106" s="72"/>
      <c r="O106" s="73"/>
      <c r="P106" s="44" t="str">
        <f t="shared" si="1"/>
        <v/>
      </c>
      <c r="Q106" s="44"/>
      <c r="R106" s="44"/>
      <c r="S106" s="44"/>
      <c r="T106" s="44"/>
      <c r="U106" s="44"/>
      <c r="V106" s="44"/>
      <c r="W106" s="44"/>
      <c r="X106" s="44"/>
      <c r="Y106" s="44"/>
      <c r="Z106" s="44"/>
    </row>
    <row r="107" spans="1:26" x14ac:dyDescent="0.25">
      <c r="A107" s="78"/>
      <c r="B107" s="78"/>
      <c r="C107" s="44"/>
      <c r="D107" s="85"/>
      <c r="E107" s="86"/>
      <c r="F107" s="86"/>
      <c r="G107" s="44"/>
      <c r="H107" s="44"/>
      <c r="I107" s="71"/>
      <c r="J107" s="44"/>
      <c r="K107" s="44"/>
      <c r="L107" s="44"/>
      <c r="M107" s="44"/>
      <c r="N107" s="72"/>
      <c r="O107" s="73"/>
      <c r="P107" s="44" t="str">
        <f t="shared" si="1"/>
        <v/>
      </c>
      <c r="Q107" s="44"/>
      <c r="R107" s="44"/>
      <c r="S107" s="44"/>
      <c r="T107" s="44"/>
      <c r="U107" s="44"/>
      <c r="V107" s="44"/>
      <c r="W107" s="44"/>
      <c r="X107" s="44"/>
      <c r="Y107" s="44"/>
      <c r="Z107" s="44"/>
    </row>
    <row r="108" spans="1:26" x14ac:dyDescent="0.25">
      <c r="A108" s="78"/>
      <c r="B108" s="78"/>
      <c r="C108" s="44"/>
      <c r="D108" s="85"/>
      <c r="E108" s="86"/>
      <c r="F108" s="86"/>
      <c r="G108" s="44"/>
      <c r="H108" s="44"/>
      <c r="I108" s="71"/>
      <c r="J108" s="44"/>
      <c r="K108" s="44"/>
      <c r="L108" s="44"/>
      <c r="M108" s="44"/>
      <c r="N108" s="72"/>
      <c r="O108" s="73"/>
      <c r="P108" s="44" t="str">
        <f t="shared" si="1"/>
        <v/>
      </c>
      <c r="Q108" s="44"/>
      <c r="R108" s="44"/>
      <c r="S108" s="44"/>
      <c r="T108" s="44"/>
      <c r="U108" s="44"/>
      <c r="V108" s="44"/>
      <c r="W108" s="44"/>
      <c r="X108" s="44"/>
      <c r="Y108" s="44"/>
      <c r="Z108" s="44"/>
    </row>
    <row r="109" spans="1:26" x14ac:dyDescent="0.25">
      <c r="A109" s="78"/>
      <c r="B109" s="78"/>
      <c r="C109" s="44"/>
      <c r="D109" s="85"/>
      <c r="E109" s="86"/>
      <c r="F109" s="86"/>
      <c r="G109" s="44"/>
      <c r="H109" s="44"/>
      <c r="I109" s="71"/>
      <c r="J109" s="44"/>
      <c r="K109" s="44"/>
      <c r="L109" s="44"/>
      <c r="M109" s="44"/>
      <c r="N109" s="72"/>
      <c r="O109" s="73"/>
      <c r="P109" s="44" t="str">
        <f t="shared" si="1"/>
        <v/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</row>
    <row r="110" spans="1:26" x14ac:dyDescent="0.25">
      <c r="A110" s="78"/>
      <c r="B110" s="78"/>
      <c r="C110" s="44"/>
      <c r="D110" s="85"/>
      <c r="E110" s="86"/>
      <c r="F110" s="86"/>
      <c r="G110" s="44"/>
      <c r="H110" s="44"/>
      <c r="I110" s="71"/>
      <c r="J110" s="44"/>
      <c r="K110" s="44"/>
      <c r="L110" s="44"/>
      <c r="M110" s="44"/>
      <c r="N110" s="72"/>
      <c r="O110" s="73"/>
      <c r="P110" s="44" t="str">
        <f t="shared" si="1"/>
        <v/>
      </c>
      <c r="Q110" s="44"/>
      <c r="R110" s="44"/>
      <c r="S110" s="44"/>
      <c r="T110" s="44"/>
      <c r="U110" s="44"/>
      <c r="V110" s="44"/>
      <c r="W110" s="44"/>
      <c r="X110" s="44"/>
      <c r="Y110" s="44"/>
      <c r="Z110" s="44"/>
    </row>
    <row r="111" spans="1:26" x14ac:dyDescent="0.25">
      <c r="A111" s="78"/>
      <c r="B111" s="78"/>
      <c r="C111" s="44"/>
      <c r="D111" s="85"/>
      <c r="E111" s="86"/>
      <c r="F111" s="86"/>
      <c r="G111" s="44"/>
      <c r="H111" s="44"/>
      <c r="I111" s="71"/>
      <c r="J111" s="44"/>
      <c r="K111" s="44"/>
      <c r="L111" s="44"/>
      <c r="M111" s="44"/>
      <c r="N111" s="72"/>
      <c r="O111" s="73"/>
      <c r="P111" s="44" t="str">
        <f t="shared" si="1"/>
        <v/>
      </c>
      <c r="Q111" s="44"/>
      <c r="R111" s="44"/>
      <c r="S111" s="44"/>
      <c r="T111" s="44"/>
      <c r="U111" s="44"/>
      <c r="V111" s="44"/>
      <c r="W111" s="44"/>
      <c r="X111" s="44"/>
      <c r="Y111" s="44"/>
      <c r="Z111" s="44"/>
    </row>
    <row r="112" spans="1:26" x14ac:dyDescent="0.25">
      <c r="A112" s="78"/>
      <c r="B112" s="78"/>
      <c r="C112" s="44"/>
      <c r="D112" s="85"/>
      <c r="E112" s="86"/>
      <c r="F112" s="86"/>
      <c r="G112" s="44"/>
      <c r="H112" s="44"/>
      <c r="I112" s="71"/>
      <c r="J112" s="44"/>
      <c r="K112" s="44"/>
      <c r="L112" s="44"/>
      <c r="M112" s="44"/>
      <c r="N112" s="72"/>
      <c r="O112" s="73"/>
      <c r="P112" s="44" t="str">
        <f t="shared" si="1"/>
        <v/>
      </c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spans="1:26" x14ac:dyDescent="0.25">
      <c r="A113" s="78"/>
      <c r="B113" s="78"/>
      <c r="C113" s="44"/>
      <c r="D113" s="85"/>
      <c r="E113" s="86"/>
      <c r="F113" s="86"/>
      <c r="G113" s="44"/>
      <c r="H113" s="44"/>
      <c r="I113" s="71"/>
      <c r="J113" s="44"/>
      <c r="K113" s="44"/>
      <c r="L113" s="44"/>
      <c r="M113" s="44"/>
      <c r="N113" s="72"/>
      <c r="O113" s="73"/>
      <c r="P113" s="44" t="str">
        <f t="shared" si="1"/>
        <v/>
      </c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spans="1:26" x14ac:dyDescent="0.25">
      <c r="A114" s="78"/>
      <c r="B114" s="78"/>
      <c r="C114" s="44"/>
      <c r="D114" s="85"/>
      <c r="E114" s="86"/>
      <c r="F114" s="86"/>
      <c r="G114" s="44"/>
      <c r="H114" s="44"/>
      <c r="I114" s="71"/>
      <c r="J114" s="44"/>
      <c r="K114" s="44"/>
      <c r="L114" s="44"/>
      <c r="M114" s="44"/>
      <c r="N114" s="72"/>
      <c r="O114" s="73"/>
      <c r="P114" s="44" t="str">
        <f t="shared" si="1"/>
        <v/>
      </c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spans="1:26" x14ac:dyDescent="0.25">
      <c r="A115" s="78"/>
      <c r="B115" s="78"/>
      <c r="C115" s="44"/>
      <c r="D115" s="85"/>
      <c r="E115" s="86"/>
      <c r="F115" s="86"/>
      <c r="G115" s="44"/>
      <c r="H115" s="44"/>
      <c r="I115" s="71"/>
      <c r="J115" s="44"/>
      <c r="K115" s="44"/>
      <c r="L115" s="44"/>
      <c r="M115" s="44"/>
      <c r="N115" s="72"/>
      <c r="O115" s="73"/>
      <c r="P115" s="44" t="str">
        <f t="shared" si="1"/>
        <v/>
      </c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spans="1:26" x14ac:dyDescent="0.25">
      <c r="A116" s="78"/>
      <c r="B116" s="78"/>
      <c r="C116" s="44"/>
      <c r="D116" s="85"/>
      <c r="E116" s="86"/>
      <c r="F116" s="86"/>
      <c r="G116" s="44"/>
      <c r="H116" s="44"/>
      <c r="I116" s="71"/>
      <c r="J116" s="44"/>
      <c r="K116" s="44"/>
      <c r="L116" s="44"/>
      <c r="M116" s="44"/>
      <c r="N116" s="72"/>
      <c r="O116" s="73"/>
      <c r="P116" s="44" t="str">
        <f t="shared" si="1"/>
        <v/>
      </c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spans="1:26" x14ac:dyDescent="0.25">
      <c r="A117" s="78"/>
      <c r="B117" s="78"/>
      <c r="C117" s="44"/>
      <c r="D117" s="85"/>
      <c r="E117" s="86"/>
      <c r="F117" s="86"/>
      <c r="G117" s="44"/>
      <c r="H117" s="44"/>
      <c r="I117" s="71"/>
      <c r="J117" s="44"/>
      <c r="K117" s="44"/>
      <c r="L117" s="44"/>
      <c r="M117" s="44"/>
      <c r="N117" s="72"/>
      <c r="O117" s="73"/>
      <c r="P117" s="44" t="str">
        <f t="shared" si="1"/>
        <v/>
      </c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spans="1:26" x14ac:dyDescent="0.25">
      <c r="A118" s="78"/>
      <c r="B118" s="78"/>
      <c r="C118" s="44"/>
      <c r="D118" s="85"/>
      <c r="E118" s="86"/>
      <c r="F118" s="86"/>
      <c r="G118" s="44"/>
      <c r="H118" s="44"/>
      <c r="I118" s="71"/>
      <c r="J118" s="44"/>
      <c r="K118" s="44"/>
      <c r="L118" s="44"/>
      <c r="M118" s="44"/>
      <c r="N118" s="72"/>
      <c r="O118" s="73"/>
      <c r="P118" s="44" t="str">
        <f t="shared" si="1"/>
        <v/>
      </c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spans="1:26" x14ac:dyDescent="0.25">
      <c r="A119" s="78"/>
      <c r="B119" s="78"/>
      <c r="C119" s="44"/>
      <c r="D119" s="85"/>
      <c r="E119" s="86"/>
      <c r="F119" s="86"/>
      <c r="G119" s="44"/>
      <c r="H119" s="44"/>
      <c r="I119" s="71"/>
      <c r="J119" s="44"/>
      <c r="K119" s="44"/>
      <c r="L119" s="44"/>
      <c r="M119" s="44"/>
      <c r="N119" s="72"/>
      <c r="O119" s="73"/>
      <c r="P119" s="44" t="str">
        <f t="shared" si="1"/>
        <v/>
      </c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spans="1:26" x14ac:dyDescent="0.25">
      <c r="A120" s="78"/>
      <c r="B120" s="78"/>
      <c r="C120" s="44"/>
      <c r="D120" s="85"/>
      <c r="E120" s="86"/>
      <c r="F120" s="86"/>
      <c r="G120" s="44"/>
      <c r="H120" s="44"/>
      <c r="I120" s="71"/>
      <c r="J120" s="44"/>
      <c r="K120" s="44"/>
      <c r="L120" s="44"/>
      <c r="M120" s="44"/>
      <c r="N120" s="72"/>
      <c r="O120" s="73"/>
      <c r="P120" s="44" t="str">
        <f t="shared" si="1"/>
        <v/>
      </c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spans="1:26" x14ac:dyDescent="0.25">
      <c r="A121" s="78"/>
      <c r="B121" s="78"/>
      <c r="C121" s="44"/>
      <c r="D121" s="85"/>
      <c r="E121" s="86"/>
      <c r="F121" s="86"/>
      <c r="G121" s="44"/>
      <c r="H121" s="44"/>
      <c r="I121" s="71"/>
      <c r="J121" s="44"/>
      <c r="K121" s="44"/>
      <c r="L121" s="44"/>
      <c r="M121" s="44"/>
      <c r="N121" s="72"/>
      <c r="O121" s="73"/>
      <c r="P121" s="44" t="str">
        <f t="shared" si="1"/>
        <v/>
      </c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spans="1:26" x14ac:dyDescent="0.25">
      <c r="A122" s="78"/>
      <c r="B122" s="78"/>
      <c r="C122" s="44"/>
      <c r="D122" s="85"/>
      <c r="E122" s="86"/>
      <c r="F122" s="86"/>
      <c r="G122" s="44"/>
      <c r="H122" s="44"/>
      <c r="I122" s="71"/>
      <c r="J122" s="44"/>
      <c r="K122" s="44"/>
      <c r="L122" s="44"/>
      <c r="M122" s="44"/>
      <c r="N122" s="72"/>
      <c r="O122" s="73"/>
      <c r="P122" s="44" t="str">
        <f t="shared" si="1"/>
        <v/>
      </c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spans="1:26" x14ac:dyDescent="0.25">
      <c r="A123" s="78"/>
      <c r="B123" s="78"/>
      <c r="C123" s="44"/>
      <c r="D123" s="85"/>
      <c r="E123" s="86"/>
      <c r="F123" s="86"/>
      <c r="G123" s="44"/>
      <c r="H123" s="44"/>
      <c r="I123" s="71"/>
      <c r="J123" s="44"/>
      <c r="K123" s="44"/>
      <c r="L123" s="44"/>
      <c r="M123" s="44"/>
      <c r="N123" s="72"/>
      <c r="O123" s="73"/>
      <c r="P123" s="44" t="str">
        <f t="shared" si="1"/>
        <v/>
      </c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spans="1:26" x14ac:dyDescent="0.25">
      <c r="A124" s="78"/>
      <c r="B124" s="78"/>
      <c r="C124" s="44"/>
      <c r="D124" s="85"/>
      <c r="E124" s="86"/>
      <c r="F124" s="86"/>
      <c r="G124" s="44"/>
      <c r="H124" s="44"/>
      <c r="I124" s="71"/>
      <c r="J124" s="44"/>
      <c r="K124" s="44"/>
      <c r="L124" s="44"/>
      <c r="M124" s="44"/>
      <c r="N124" s="72"/>
      <c r="O124" s="73"/>
      <c r="P124" s="44" t="str">
        <f t="shared" si="1"/>
        <v/>
      </c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spans="1:26" x14ac:dyDescent="0.25">
      <c r="A125" s="78"/>
      <c r="B125" s="78"/>
      <c r="C125" s="44"/>
      <c r="D125" s="85"/>
      <c r="E125" s="86"/>
      <c r="F125" s="86"/>
      <c r="G125" s="44"/>
      <c r="H125" s="44"/>
      <c r="I125" s="71"/>
      <c r="J125" s="44"/>
      <c r="K125" s="44"/>
      <c r="L125" s="44"/>
      <c r="M125" s="44"/>
      <c r="N125" s="72"/>
      <c r="O125" s="73"/>
      <c r="P125" s="44" t="str">
        <f t="shared" si="1"/>
        <v/>
      </c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spans="1:26" x14ac:dyDescent="0.25">
      <c r="A126" s="78"/>
      <c r="B126" s="78"/>
      <c r="C126" s="44"/>
      <c r="D126" s="85"/>
      <c r="E126" s="86"/>
      <c r="F126" s="86"/>
      <c r="G126" s="44"/>
      <c r="H126" s="44"/>
      <c r="I126" s="71"/>
      <c r="J126" s="44"/>
      <c r="K126" s="44"/>
      <c r="L126" s="44"/>
      <c r="M126" s="44"/>
      <c r="N126" s="72"/>
      <c r="O126" s="73"/>
      <c r="P126" s="44" t="str">
        <f t="shared" si="1"/>
        <v/>
      </c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spans="1:26" x14ac:dyDescent="0.25">
      <c r="A127" s="78"/>
      <c r="B127" s="78"/>
      <c r="C127" s="44"/>
      <c r="D127" s="85"/>
      <c r="E127" s="86"/>
      <c r="F127" s="86"/>
      <c r="G127" s="44"/>
      <c r="H127" s="44"/>
      <c r="I127" s="71"/>
      <c r="J127" s="44"/>
      <c r="K127" s="44"/>
      <c r="L127" s="44"/>
      <c r="M127" s="44"/>
      <c r="N127" s="72"/>
      <c r="O127" s="73"/>
      <c r="P127" s="44" t="str">
        <f t="shared" si="1"/>
        <v/>
      </c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spans="1:26" x14ac:dyDescent="0.25">
      <c r="A128" s="78"/>
      <c r="B128" s="78"/>
      <c r="C128" s="44"/>
      <c r="D128" s="85"/>
      <c r="E128" s="86"/>
      <c r="F128" s="86"/>
      <c r="G128" s="44"/>
      <c r="H128" s="44"/>
      <c r="I128" s="71"/>
      <c r="J128" s="44"/>
      <c r="K128" s="44"/>
      <c r="L128" s="44"/>
      <c r="M128" s="44"/>
      <c r="N128" s="72"/>
      <c r="O128" s="73"/>
      <c r="P128" s="44" t="str">
        <f t="shared" si="1"/>
        <v/>
      </c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spans="1:26" x14ac:dyDescent="0.25">
      <c r="A129" s="78"/>
      <c r="B129" s="78"/>
      <c r="C129" s="44"/>
      <c r="D129" s="85"/>
      <c r="E129" s="86"/>
      <c r="F129" s="86"/>
      <c r="G129" s="44"/>
      <c r="H129" s="44"/>
      <c r="I129" s="71"/>
      <c r="J129" s="44"/>
      <c r="K129" s="44"/>
      <c r="L129" s="44"/>
      <c r="M129" s="44"/>
      <c r="N129" s="72"/>
      <c r="O129" s="73"/>
      <c r="P129" s="44" t="str">
        <f t="shared" si="1"/>
        <v/>
      </c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spans="1:26" x14ac:dyDescent="0.25">
      <c r="A130" s="78"/>
      <c r="B130" s="78"/>
      <c r="C130" s="44"/>
      <c r="D130" s="85"/>
      <c r="E130" s="86"/>
      <c r="F130" s="86"/>
      <c r="G130" s="44"/>
      <c r="H130" s="44"/>
      <c r="I130" s="71"/>
      <c r="J130" s="44"/>
      <c r="K130" s="44"/>
      <c r="L130" s="44"/>
      <c r="M130" s="44"/>
      <c r="N130" s="72"/>
      <c r="O130" s="73"/>
      <c r="P130" s="44" t="str">
        <f t="shared" si="1"/>
        <v/>
      </c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spans="1:26" x14ac:dyDescent="0.25">
      <c r="A131" s="78"/>
      <c r="B131" s="78"/>
      <c r="C131" s="44"/>
      <c r="D131" s="85"/>
      <c r="E131" s="86"/>
      <c r="F131" s="86"/>
      <c r="G131" s="44"/>
      <c r="H131" s="44"/>
      <c r="I131" s="71"/>
      <c r="J131" s="44"/>
      <c r="K131" s="44"/>
      <c r="L131" s="44"/>
      <c r="M131" s="44"/>
      <c r="N131" s="72"/>
      <c r="O131" s="73"/>
      <c r="P131" s="44" t="str">
        <f t="shared" si="1"/>
        <v/>
      </c>
      <c r="Q131" s="44"/>
      <c r="R131" s="44"/>
      <c r="S131" s="44"/>
      <c r="T131" s="44"/>
      <c r="U131" s="44"/>
      <c r="V131" s="44"/>
      <c r="W131" s="44"/>
      <c r="X131" s="44"/>
      <c r="Y131" s="44"/>
      <c r="Z131" s="44"/>
    </row>
    <row r="132" spans="1:26" x14ac:dyDescent="0.25">
      <c r="A132" s="78"/>
      <c r="B132" s="78"/>
      <c r="C132" s="44"/>
      <c r="D132" s="85"/>
      <c r="E132" s="86"/>
      <c r="F132" s="86"/>
      <c r="G132" s="44"/>
      <c r="H132" s="44"/>
      <c r="I132" s="71"/>
      <c r="J132" s="44"/>
      <c r="K132" s="44"/>
      <c r="L132" s="44"/>
      <c r="M132" s="44"/>
      <c r="N132" s="72"/>
      <c r="O132" s="73"/>
      <c r="P132" s="44" t="str">
        <f t="shared" si="1"/>
        <v/>
      </c>
      <c r="Q132" s="44"/>
      <c r="R132" s="44"/>
      <c r="S132" s="44"/>
      <c r="T132" s="44"/>
      <c r="U132" s="44"/>
      <c r="V132" s="44"/>
      <c r="W132" s="44"/>
      <c r="X132" s="44"/>
      <c r="Y132" s="44"/>
      <c r="Z132" s="44"/>
    </row>
    <row r="133" spans="1:26" x14ac:dyDescent="0.25">
      <c r="A133" s="78"/>
      <c r="B133" s="78"/>
      <c r="C133" s="44"/>
      <c r="D133" s="85"/>
      <c r="E133" s="86"/>
      <c r="F133" s="86"/>
      <c r="G133" s="44"/>
      <c r="H133" s="44"/>
      <c r="I133" s="71"/>
      <c r="J133" s="44"/>
      <c r="K133" s="44"/>
      <c r="L133" s="44"/>
      <c r="M133" s="44"/>
      <c r="N133" s="72"/>
      <c r="O133" s="73"/>
      <c r="P133" s="44" t="str">
        <f t="shared" si="1"/>
        <v/>
      </c>
      <c r="Q133" s="44"/>
      <c r="R133" s="44"/>
      <c r="S133" s="44"/>
      <c r="T133" s="44"/>
      <c r="U133" s="44"/>
      <c r="V133" s="44"/>
      <c r="W133" s="44"/>
      <c r="X133" s="44"/>
      <c r="Y133" s="44"/>
      <c r="Z133" s="44"/>
    </row>
    <row r="134" spans="1:26" x14ac:dyDescent="0.25">
      <c r="A134" s="78"/>
      <c r="B134" s="78"/>
      <c r="C134" s="44"/>
      <c r="D134" s="85"/>
      <c r="E134" s="86"/>
      <c r="F134" s="86"/>
      <c r="G134" s="44"/>
      <c r="H134" s="44"/>
      <c r="I134" s="71"/>
      <c r="J134" s="44"/>
      <c r="K134" s="44"/>
      <c r="L134" s="44"/>
      <c r="M134" s="44"/>
      <c r="N134" s="72"/>
      <c r="O134" s="73"/>
      <c r="P134" s="44" t="str">
        <f t="shared" si="1"/>
        <v/>
      </c>
      <c r="Q134" s="44"/>
      <c r="R134" s="44"/>
      <c r="S134" s="44"/>
      <c r="T134" s="44"/>
      <c r="U134" s="44"/>
      <c r="V134" s="44"/>
      <c r="W134" s="44"/>
      <c r="X134" s="44"/>
      <c r="Y134" s="44"/>
      <c r="Z134" s="44"/>
    </row>
    <row r="135" spans="1:26" x14ac:dyDescent="0.25">
      <c r="A135" s="78"/>
      <c r="B135" s="78"/>
      <c r="C135" s="44"/>
      <c r="D135" s="85"/>
      <c r="E135" s="86"/>
      <c r="F135" s="86"/>
      <c r="G135" s="44"/>
      <c r="H135" s="44"/>
      <c r="I135" s="71"/>
      <c r="J135" s="44"/>
      <c r="K135" s="44"/>
      <c r="L135" s="44"/>
      <c r="M135" s="44"/>
      <c r="N135" s="72"/>
      <c r="O135" s="73"/>
      <c r="P135" s="44" t="str">
        <f t="shared" ref="P135:P198" si="2">IF(I135="","",SUMIFS(OrderItems_Qty,OrderItems_Type,"PURCHASE",OrderItems_SKU,I135)-SUMIFS(OrderItems_Qty,OrderItems_Type,"SALE",OrderItems_SKU,I135))</f>
        <v/>
      </c>
      <c r="Q135" s="44"/>
      <c r="R135" s="44"/>
      <c r="S135" s="44"/>
      <c r="T135" s="44"/>
      <c r="U135" s="44"/>
      <c r="V135" s="44"/>
      <c r="W135" s="44"/>
      <c r="X135" s="44"/>
      <c r="Y135" s="44"/>
      <c r="Z135" s="44"/>
    </row>
    <row r="136" spans="1:26" x14ac:dyDescent="0.25">
      <c r="A136" s="78"/>
      <c r="B136" s="78"/>
      <c r="C136" s="44"/>
      <c r="D136" s="85"/>
      <c r="E136" s="86"/>
      <c r="F136" s="86"/>
      <c r="G136" s="44"/>
      <c r="H136" s="44"/>
      <c r="I136" s="71"/>
      <c r="J136" s="44"/>
      <c r="K136" s="44"/>
      <c r="L136" s="44"/>
      <c r="M136" s="44"/>
      <c r="N136" s="72"/>
      <c r="O136" s="73"/>
      <c r="P136" s="44" t="str">
        <f t="shared" si="2"/>
        <v/>
      </c>
      <c r="Q136" s="44"/>
      <c r="R136" s="44"/>
      <c r="S136" s="44"/>
      <c r="T136" s="44"/>
      <c r="U136" s="44"/>
      <c r="V136" s="44"/>
      <c r="W136" s="44"/>
      <c r="X136" s="44"/>
      <c r="Y136" s="44"/>
      <c r="Z136" s="44"/>
    </row>
    <row r="137" spans="1:26" x14ac:dyDescent="0.25">
      <c r="A137" s="78"/>
      <c r="B137" s="78"/>
      <c r="C137" s="44"/>
      <c r="D137" s="85"/>
      <c r="E137" s="86"/>
      <c r="F137" s="86"/>
      <c r="G137" s="44"/>
      <c r="H137" s="44"/>
      <c r="I137" s="71"/>
      <c r="J137" s="44"/>
      <c r="K137" s="44"/>
      <c r="L137" s="44"/>
      <c r="M137" s="44"/>
      <c r="N137" s="72"/>
      <c r="O137" s="73"/>
      <c r="P137" s="44" t="str">
        <f t="shared" si="2"/>
        <v/>
      </c>
      <c r="Q137" s="44"/>
      <c r="R137" s="44"/>
      <c r="S137" s="44"/>
      <c r="T137" s="44"/>
      <c r="U137" s="44"/>
      <c r="V137" s="44"/>
      <c r="W137" s="44"/>
      <c r="X137" s="44"/>
      <c r="Y137" s="44"/>
      <c r="Z137" s="44"/>
    </row>
    <row r="138" spans="1:26" x14ac:dyDescent="0.25">
      <c r="A138" s="78"/>
      <c r="B138" s="78"/>
      <c r="C138" s="44"/>
      <c r="D138" s="85"/>
      <c r="E138" s="86"/>
      <c r="F138" s="86"/>
      <c r="G138" s="44"/>
      <c r="H138" s="44"/>
      <c r="I138" s="71"/>
      <c r="J138" s="44"/>
      <c r="K138" s="44"/>
      <c r="L138" s="44"/>
      <c r="M138" s="44"/>
      <c r="N138" s="72"/>
      <c r="O138" s="73"/>
      <c r="P138" s="44" t="str">
        <f t="shared" si="2"/>
        <v/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</row>
    <row r="139" spans="1:26" x14ac:dyDescent="0.25">
      <c r="A139" s="78"/>
      <c r="B139" s="78"/>
      <c r="C139" s="44"/>
      <c r="D139" s="85"/>
      <c r="E139" s="86"/>
      <c r="F139" s="86"/>
      <c r="G139" s="44"/>
      <c r="H139" s="44"/>
      <c r="I139" s="71"/>
      <c r="J139" s="44"/>
      <c r="K139" s="44"/>
      <c r="L139" s="44"/>
      <c r="M139" s="44"/>
      <c r="N139" s="72"/>
      <c r="O139" s="73"/>
      <c r="P139" s="44" t="str">
        <f t="shared" si="2"/>
        <v/>
      </c>
      <c r="Q139" s="44"/>
      <c r="R139" s="44"/>
      <c r="S139" s="44"/>
      <c r="T139" s="44"/>
      <c r="U139" s="44"/>
      <c r="V139" s="44"/>
      <c r="W139" s="44"/>
      <c r="X139" s="44"/>
      <c r="Y139" s="44"/>
      <c r="Z139" s="44"/>
    </row>
    <row r="140" spans="1:26" x14ac:dyDescent="0.25">
      <c r="A140" s="78"/>
      <c r="B140" s="78"/>
      <c r="C140" s="44"/>
      <c r="D140" s="85"/>
      <c r="E140" s="86"/>
      <c r="F140" s="86"/>
      <c r="G140" s="44"/>
      <c r="H140" s="44"/>
      <c r="I140" s="71"/>
      <c r="J140" s="44"/>
      <c r="K140" s="44"/>
      <c r="L140" s="44"/>
      <c r="M140" s="44"/>
      <c r="N140" s="72"/>
      <c r="O140" s="73"/>
      <c r="P140" s="44" t="str">
        <f t="shared" si="2"/>
        <v/>
      </c>
      <c r="Q140" s="44"/>
      <c r="R140" s="44"/>
      <c r="S140" s="44"/>
      <c r="T140" s="44"/>
      <c r="U140" s="44"/>
      <c r="V140" s="44"/>
      <c r="W140" s="44"/>
      <c r="X140" s="44"/>
      <c r="Y140" s="44"/>
      <c r="Z140" s="44"/>
    </row>
    <row r="141" spans="1:26" x14ac:dyDescent="0.25">
      <c r="A141" s="78"/>
      <c r="B141" s="78"/>
      <c r="C141" s="44"/>
      <c r="D141" s="85"/>
      <c r="E141" s="86"/>
      <c r="F141" s="86"/>
      <c r="G141" s="44"/>
      <c r="H141" s="44"/>
      <c r="I141" s="71"/>
      <c r="J141" s="44"/>
      <c r="K141" s="44"/>
      <c r="L141" s="44"/>
      <c r="M141" s="44"/>
      <c r="N141" s="72"/>
      <c r="O141" s="73"/>
      <c r="P141" s="44" t="str">
        <f t="shared" si="2"/>
        <v/>
      </c>
      <c r="Q141" s="44"/>
      <c r="R141" s="44"/>
      <c r="S141" s="44"/>
      <c r="T141" s="44"/>
      <c r="U141" s="44"/>
      <c r="V141" s="44"/>
      <c r="W141" s="44"/>
      <c r="X141" s="44"/>
      <c r="Y141" s="44"/>
      <c r="Z141" s="44"/>
    </row>
    <row r="142" spans="1:26" x14ac:dyDescent="0.25">
      <c r="A142" s="78"/>
      <c r="B142" s="78"/>
      <c r="C142" s="44"/>
      <c r="D142" s="85"/>
      <c r="E142" s="86"/>
      <c r="F142" s="86"/>
      <c r="G142" s="44"/>
      <c r="H142" s="44"/>
      <c r="I142" s="71"/>
      <c r="J142" s="44"/>
      <c r="K142" s="44"/>
      <c r="L142" s="44"/>
      <c r="M142" s="44"/>
      <c r="N142" s="72"/>
      <c r="O142" s="73"/>
      <c r="P142" s="44" t="str">
        <f t="shared" si="2"/>
        <v/>
      </c>
      <c r="Q142" s="44"/>
      <c r="R142" s="44"/>
      <c r="S142" s="44"/>
      <c r="T142" s="44"/>
      <c r="U142" s="44"/>
      <c r="V142" s="44"/>
      <c r="W142" s="44"/>
      <c r="X142" s="44"/>
      <c r="Y142" s="44"/>
      <c r="Z142" s="44"/>
    </row>
    <row r="143" spans="1:26" x14ac:dyDescent="0.25">
      <c r="A143" s="78"/>
      <c r="B143" s="78"/>
      <c r="C143" s="44"/>
      <c r="D143" s="85"/>
      <c r="E143" s="86"/>
      <c r="F143" s="86"/>
      <c r="G143" s="44"/>
      <c r="H143" s="44"/>
      <c r="I143" s="71"/>
      <c r="J143" s="44"/>
      <c r="K143" s="44"/>
      <c r="L143" s="44"/>
      <c r="M143" s="44"/>
      <c r="N143" s="72"/>
      <c r="O143" s="73"/>
      <c r="P143" s="44" t="str">
        <f t="shared" si="2"/>
        <v/>
      </c>
      <c r="Q143" s="44"/>
      <c r="R143" s="44"/>
      <c r="S143" s="44"/>
      <c r="T143" s="44"/>
      <c r="U143" s="44"/>
      <c r="V143" s="44"/>
      <c r="W143" s="44"/>
      <c r="X143" s="44"/>
      <c r="Y143" s="44"/>
      <c r="Z143" s="44"/>
    </row>
    <row r="144" spans="1:26" x14ac:dyDescent="0.25">
      <c r="A144" s="78"/>
      <c r="B144" s="78"/>
      <c r="C144" s="44"/>
      <c r="D144" s="85"/>
      <c r="E144" s="86"/>
      <c r="F144" s="86"/>
      <c r="G144" s="44"/>
      <c r="H144" s="44"/>
      <c r="I144" s="71"/>
      <c r="J144" s="44"/>
      <c r="K144" s="44"/>
      <c r="L144" s="44"/>
      <c r="M144" s="44"/>
      <c r="N144" s="72"/>
      <c r="O144" s="73"/>
      <c r="P144" s="44" t="str">
        <f t="shared" si="2"/>
        <v/>
      </c>
      <c r="Q144" s="44"/>
      <c r="R144" s="44"/>
      <c r="S144" s="44"/>
      <c r="T144" s="44"/>
      <c r="U144" s="44"/>
      <c r="V144" s="44"/>
      <c r="W144" s="44"/>
      <c r="X144" s="44"/>
      <c r="Y144" s="44"/>
      <c r="Z144" s="44"/>
    </row>
    <row r="145" spans="1:26" x14ac:dyDescent="0.25">
      <c r="A145" s="78"/>
      <c r="B145" s="78"/>
      <c r="C145" s="44"/>
      <c r="D145" s="85"/>
      <c r="E145" s="86"/>
      <c r="F145" s="86"/>
      <c r="G145" s="44"/>
      <c r="H145" s="44"/>
      <c r="I145" s="71"/>
      <c r="J145" s="44"/>
      <c r="K145" s="44"/>
      <c r="L145" s="44"/>
      <c r="M145" s="44"/>
      <c r="N145" s="72"/>
      <c r="O145" s="73"/>
      <c r="P145" s="44" t="str">
        <f t="shared" si="2"/>
        <v/>
      </c>
      <c r="Q145" s="44"/>
      <c r="R145" s="44"/>
      <c r="S145" s="44"/>
      <c r="T145" s="44"/>
      <c r="U145" s="44"/>
      <c r="V145" s="44"/>
      <c r="W145" s="44"/>
      <c r="X145" s="44"/>
      <c r="Y145" s="44"/>
      <c r="Z145" s="44"/>
    </row>
    <row r="146" spans="1:26" x14ac:dyDescent="0.25">
      <c r="A146" s="78"/>
      <c r="B146" s="78"/>
      <c r="C146" s="44"/>
      <c r="D146" s="85"/>
      <c r="E146" s="86"/>
      <c r="F146" s="86"/>
      <c r="G146" s="44"/>
      <c r="H146" s="44"/>
      <c r="I146" s="71"/>
      <c r="J146" s="44"/>
      <c r="K146" s="44"/>
      <c r="L146" s="44"/>
      <c r="M146" s="44"/>
      <c r="N146" s="72"/>
      <c r="O146" s="73"/>
      <c r="P146" s="44" t="str">
        <f t="shared" si="2"/>
        <v/>
      </c>
      <c r="Q146" s="44"/>
      <c r="R146" s="44"/>
      <c r="S146" s="44"/>
      <c r="T146" s="44"/>
      <c r="U146" s="44"/>
      <c r="V146" s="44"/>
      <c r="W146" s="44"/>
      <c r="X146" s="44"/>
      <c r="Y146" s="44"/>
      <c r="Z146" s="44"/>
    </row>
    <row r="147" spans="1:26" x14ac:dyDescent="0.25">
      <c r="A147" s="78"/>
      <c r="B147" s="78"/>
      <c r="C147" s="44"/>
      <c r="D147" s="85"/>
      <c r="E147" s="86"/>
      <c r="F147" s="86"/>
      <c r="G147" s="44"/>
      <c r="H147" s="44"/>
      <c r="I147" s="71"/>
      <c r="J147" s="44"/>
      <c r="K147" s="44"/>
      <c r="L147" s="44"/>
      <c r="M147" s="44"/>
      <c r="N147" s="72"/>
      <c r="O147" s="73"/>
      <c r="P147" s="44" t="str">
        <f t="shared" si="2"/>
        <v/>
      </c>
      <c r="Q147" s="44"/>
      <c r="R147" s="44"/>
      <c r="S147" s="44"/>
      <c r="T147" s="44"/>
      <c r="U147" s="44"/>
      <c r="V147" s="44"/>
      <c r="W147" s="44"/>
      <c r="X147" s="44"/>
      <c r="Y147" s="44"/>
      <c r="Z147" s="44"/>
    </row>
    <row r="148" spans="1:26" x14ac:dyDescent="0.25">
      <c r="A148" s="78"/>
      <c r="B148" s="78"/>
      <c r="C148" s="44"/>
      <c r="D148" s="85"/>
      <c r="E148" s="86"/>
      <c r="F148" s="86"/>
      <c r="G148" s="44"/>
      <c r="H148" s="44"/>
      <c r="I148" s="71"/>
      <c r="J148" s="44"/>
      <c r="K148" s="44"/>
      <c r="L148" s="44"/>
      <c r="M148" s="44"/>
      <c r="N148" s="72"/>
      <c r="O148" s="73"/>
      <c r="P148" s="44" t="str">
        <f t="shared" si="2"/>
        <v/>
      </c>
      <c r="Q148" s="44"/>
      <c r="R148" s="44"/>
      <c r="S148" s="44"/>
      <c r="T148" s="44"/>
      <c r="U148" s="44"/>
      <c r="V148" s="44"/>
      <c r="W148" s="44"/>
      <c r="X148" s="44"/>
      <c r="Y148" s="44"/>
      <c r="Z148" s="44"/>
    </row>
    <row r="149" spans="1:26" x14ac:dyDescent="0.25">
      <c r="A149" s="78"/>
      <c r="B149" s="78"/>
      <c r="C149" s="44"/>
      <c r="D149" s="85"/>
      <c r="E149" s="86"/>
      <c r="F149" s="86"/>
      <c r="G149" s="44"/>
      <c r="H149" s="44"/>
      <c r="I149" s="71"/>
      <c r="J149" s="44"/>
      <c r="K149" s="44"/>
      <c r="L149" s="44"/>
      <c r="M149" s="44"/>
      <c r="N149" s="72"/>
      <c r="O149" s="73"/>
      <c r="P149" s="44" t="str">
        <f t="shared" si="2"/>
        <v/>
      </c>
      <c r="Q149" s="44"/>
      <c r="R149" s="44"/>
      <c r="S149" s="44"/>
      <c r="T149" s="44"/>
      <c r="U149" s="44"/>
      <c r="V149" s="44"/>
      <c r="W149" s="44"/>
      <c r="X149" s="44"/>
      <c r="Y149" s="44"/>
      <c r="Z149" s="44"/>
    </row>
    <row r="150" spans="1:26" x14ac:dyDescent="0.25">
      <c r="A150" s="78"/>
      <c r="B150" s="78"/>
      <c r="C150" s="44"/>
      <c r="D150" s="85"/>
      <c r="E150" s="86"/>
      <c r="F150" s="86"/>
      <c r="G150" s="44"/>
      <c r="H150" s="44"/>
      <c r="I150" s="71"/>
      <c r="J150" s="44"/>
      <c r="K150" s="44"/>
      <c r="L150" s="44"/>
      <c r="M150" s="44"/>
      <c r="N150" s="72"/>
      <c r="O150" s="73"/>
      <c r="P150" s="44" t="str">
        <f t="shared" si="2"/>
        <v/>
      </c>
      <c r="Q150" s="44"/>
      <c r="R150" s="44"/>
      <c r="S150" s="44"/>
      <c r="T150" s="44"/>
      <c r="U150" s="44"/>
      <c r="V150" s="44"/>
      <c r="W150" s="44"/>
      <c r="X150" s="44"/>
      <c r="Y150" s="44"/>
      <c r="Z150" s="44"/>
    </row>
    <row r="151" spans="1:26" x14ac:dyDescent="0.25">
      <c r="A151" s="78"/>
      <c r="B151" s="78"/>
      <c r="C151" s="44"/>
      <c r="D151" s="85"/>
      <c r="E151" s="86"/>
      <c r="F151" s="86"/>
      <c r="G151" s="44"/>
      <c r="H151" s="44"/>
      <c r="I151" s="71"/>
      <c r="J151" s="44"/>
      <c r="K151" s="44"/>
      <c r="L151" s="44"/>
      <c r="M151" s="44"/>
      <c r="N151" s="72"/>
      <c r="O151" s="73"/>
      <c r="P151" s="44" t="str">
        <f t="shared" si="2"/>
        <v/>
      </c>
      <c r="Q151" s="44"/>
      <c r="R151" s="44"/>
      <c r="S151" s="44"/>
      <c r="T151" s="44"/>
      <c r="U151" s="44"/>
      <c r="V151" s="44"/>
      <c r="W151" s="44"/>
      <c r="X151" s="44"/>
      <c r="Y151" s="44"/>
      <c r="Z151" s="44"/>
    </row>
    <row r="152" spans="1:26" x14ac:dyDescent="0.25">
      <c r="A152" s="78"/>
      <c r="B152" s="78"/>
      <c r="C152" s="44"/>
      <c r="D152" s="85"/>
      <c r="E152" s="86"/>
      <c r="F152" s="86"/>
      <c r="G152" s="44"/>
      <c r="H152" s="44"/>
      <c r="I152" s="71"/>
      <c r="J152" s="44"/>
      <c r="K152" s="44"/>
      <c r="L152" s="44"/>
      <c r="M152" s="44"/>
      <c r="N152" s="72"/>
      <c r="O152" s="73"/>
      <c r="P152" s="44" t="str">
        <f t="shared" si="2"/>
        <v/>
      </c>
      <c r="Q152" s="44"/>
      <c r="R152" s="44"/>
      <c r="S152" s="44"/>
      <c r="T152" s="44"/>
      <c r="U152" s="44"/>
      <c r="V152" s="44"/>
      <c r="W152" s="44"/>
      <c r="X152" s="44"/>
      <c r="Y152" s="44"/>
      <c r="Z152" s="44"/>
    </row>
    <row r="153" spans="1:26" x14ac:dyDescent="0.25">
      <c r="A153" s="78"/>
      <c r="B153" s="78"/>
      <c r="C153" s="44"/>
      <c r="D153" s="85"/>
      <c r="E153" s="86"/>
      <c r="F153" s="86"/>
      <c r="G153" s="44"/>
      <c r="H153" s="44"/>
      <c r="I153" s="71"/>
      <c r="J153" s="44"/>
      <c r="K153" s="44"/>
      <c r="L153" s="44"/>
      <c r="M153" s="44"/>
      <c r="N153" s="72"/>
      <c r="O153" s="73"/>
      <c r="P153" s="44" t="str">
        <f t="shared" si="2"/>
        <v/>
      </c>
      <c r="Q153" s="44"/>
      <c r="R153" s="44"/>
      <c r="S153" s="44"/>
      <c r="T153" s="44"/>
      <c r="U153" s="44"/>
      <c r="V153" s="44"/>
      <c r="W153" s="44"/>
      <c r="X153" s="44"/>
      <c r="Y153" s="44"/>
      <c r="Z153" s="44"/>
    </row>
    <row r="154" spans="1:26" x14ac:dyDescent="0.25">
      <c r="A154" s="78"/>
      <c r="B154" s="78"/>
      <c r="C154" s="44"/>
      <c r="D154" s="85"/>
      <c r="E154" s="86"/>
      <c r="F154" s="86"/>
      <c r="G154" s="44"/>
      <c r="H154" s="44"/>
      <c r="I154" s="71"/>
      <c r="J154" s="44"/>
      <c r="K154" s="44"/>
      <c r="L154" s="44"/>
      <c r="M154" s="44"/>
      <c r="N154" s="72"/>
      <c r="O154" s="73"/>
      <c r="P154" s="44" t="str">
        <f t="shared" si="2"/>
        <v/>
      </c>
      <c r="Q154" s="44"/>
      <c r="R154" s="44"/>
      <c r="S154" s="44"/>
      <c r="T154" s="44"/>
      <c r="U154" s="44"/>
      <c r="V154" s="44"/>
      <c r="W154" s="44"/>
      <c r="X154" s="44"/>
      <c r="Y154" s="44"/>
      <c r="Z154" s="44"/>
    </row>
    <row r="155" spans="1:26" x14ac:dyDescent="0.25">
      <c r="A155" s="78"/>
      <c r="B155" s="78"/>
      <c r="C155" s="44"/>
      <c r="D155" s="85"/>
      <c r="E155" s="86"/>
      <c r="F155" s="86"/>
      <c r="G155" s="44"/>
      <c r="H155" s="44"/>
      <c r="I155" s="71"/>
      <c r="J155" s="44"/>
      <c r="K155" s="44"/>
      <c r="L155" s="44"/>
      <c r="M155" s="44"/>
      <c r="N155" s="72"/>
      <c r="O155" s="73"/>
      <c r="P155" s="44" t="str">
        <f t="shared" si="2"/>
        <v/>
      </c>
      <c r="Q155" s="44"/>
      <c r="R155" s="44"/>
      <c r="S155" s="44"/>
      <c r="T155" s="44"/>
      <c r="U155" s="44"/>
      <c r="V155" s="44"/>
      <c r="W155" s="44"/>
      <c r="X155" s="44"/>
      <c r="Y155" s="44"/>
      <c r="Z155" s="44"/>
    </row>
    <row r="156" spans="1:26" x14ac:dyDescent="0.25">
      <c r="A156" s="78"/>
      <c r="B156" s="78"/>
      <c r="C156" s="44"/>
      <c r="D156" s="85"/>
      <c r="E156" s="86"/>
      <c r="F156" s="86"/>
      <c r="G156" s="44"/>
      <c r="H156" s="44"/>
      <c r="I156" s="71"/>
      <c r="J156" s="44"/>
      <c r="K156" s="44"/>
      <c r="L156" s="44"/>
      <c r="M156" s="44"/>
      <c r="N156" s="72"/>
      <c r="O156" s="73"/>
      <c r="P156" s="44" t="str">
        <f t="shared" si="2"/>
        <v/>
      </c>
      <c r="Q156" s="44"/>
      <c r="R156" s="44"/>
      <c r="S156" s="44"/>
      <c r="T156" s="44"/>
      <c r="U156" s="44"/>
      <c r="V156" s="44"/>
      <c r="W156" s="44"/>
      <c r="X156" s="44"/>
      <c r="Y156" s="44"/>
      <c r="Z156" s="44"/>
    </row>
    <row r="157" spans="1:26" x14ac:dyDescent="0.25">
      <c r="A157" s="78"/>
      <c r="B157" s="78"/>
      <c r="C157" s="44"/>
      <c r="D157" s="85"/>
      <c r="E157" s="86"/>
      <c r="F157" s="86"/>
      <c r="G157" s="44"/>
      <c r="H157" s="44"/>
      <c r="I157" s="71"/>
      <c r="J157" s="44"/>
      <c r="K157" s="44"/>
      <c r="L157" s="44"/>
      <c r="M157" s="44"/>
      <c r="N157" s="72"/>
      <c r="O157" s="73"/>
      <c r="P157" s="44" t="str">
        <f t="shared" si="2"/>
        <v/>
      </c>
      <c r="Q157" s="44"/>
      <c r="R157" s="44"/>
      <c r="S157" s="44"/>
      <c r="T157" s="44"/>
      <c r="U157" s="44"/>
      <c r="V157" s="44"/>
      <c r="W157" s="44"/>
      <c r="X157" s="44"/>
      <c r="Y157" s="44"/>
      <c r="Z157" s="44"/>
    </row>
    <row r="158" spans="1:26" x14ac:dyDescent="0.25">
      <c r="A158" s="78"/>
      <c r="B158" s="78"/>
      <c r="C158" s="44"/>
      <c r="D158" s="85"/>
      <c r="E158" s="86"/>
      <c r="F158" s="86"/>
      <c r="G158" s="44"/>
      <c r="H158" s="44"/>
      <c r="I158" s="71"/>
      <c r="J158" s="44"/>
      <c r="K158" s="44"/>
      <c r="L158" s="44"/>
      <c r="M158" s="44"/>
      <c r="N158" s="72"/>
      <c r="O158" s="73"/>
      <c r="P158" s="44" t="str">
        <f t="shared" si="2"/>
        <v/>
      </c>
      <c r="Q158" s="44"/>
      <c r="R158" s="44"/>
      <c r="S158" s="44"/>
      <c r="T158" s="44"/>
      <c r="U158" s="44"/>
      <c r="V158" s="44"/>
      <c r="W158" s="44"/>
      <c r="X158" s="44"/>
      <c r="Y158" s="44"/>
      <c r="Z158" s="44"/>
    </row>
    <row r="159" spans="1:26" x14ac:dyDescent="0.25">
      <c r="A159" s="78"/>
      <c r="B159" s="78"/>
      <c r="C159" s="44"/>
      <c r="D159" s="85"/>
      <c r="E159" s="86"/>
      <c r="F159" s="86"/>
      <c r="G159" s="44"/>
      <c r="H159" s="44"/>
      <c r="I159" s="71"/>
      <c r="J159" s="44"/>
      <c r="K159" s="44"/>
      <c r="L159" s="44"/>
      <c r="M159" s="44"/>
      <c r="N159" s="72"/>
      <c r="O159" s="73"/>
      <c r="P159" s="44" t="str">
        <f t="shared" si="2"/>
        <v/>
      </c>
      <c r="Q159" s="44"/>
      <c r="R159" s="44"/>
      <c r="S159" s="44"/>
      <c r="T159" s="44"/>
      <c r="U159" s="44"/>
      <c r="V159" s="44"/>
      <c r="W159" s="44"/>
      <c r="X159" s="44"/>
      <c r="Y159" s="44"/>
      <c r="Z159" s="44"/>
    </row>
    <row r="160" spans="1:26" x14ac:dyDescent="0.25">
      <c r="A160" s="78"/>
      <c r="B160" s="78"/>
      <c r="C160" s="44"/>
      <c r="D160" s="85"/>
      <c r="E160" s="86"/>
      <c r="F160" s="86"/>
      <c r="G160" s="44"/>
      <c r="H160" s="44"/>
      <c r="I160" s="71"/>
      <c r="J160" s="44"/>
      <c r="K160" s="44"/>
      <c r="L160" s="44"/>
      <c r="M160" s="44"/>
      <c r="N160" s="72"/>
      <c r="O160" s="73"/>
      <c r="P160" s="44" t="str">
        <f t="shared" si="2"/>
        <v/>
      </c>
      <c r="Q160" s="44"/>
      <c r="R160" s="44"/>
      <c r="S160" s="44"/>
      <c r="T160" s="44"/>
      <c r="U160" s="44"/>
      <c r="V160" s="44"/>
      <c r="W160" s="44"/>
      <c r="X160" s="44"/>
      <c r="Y160" s="44"/>
      <c r="Z160" s="44"/>
    </row>
    <row r="161" spans="1:26" x14ac:dyDescent="0.25">
      <c r="A161" s="78"/>
      <c r="B161" s="78"/>
      <c r="C161" s="44"/>
      <c r="D161" s="85"/>
      <c r="E161" s="86"/>
      <c r="F161" s="86"/>
      <c r="G161" s="44"/>
      <c r="H161" s="44"/>
      <c r="I161" s="71"/>
      <c r="J161" s="44"/>
      <c r="K161" s="44"/>
      <c r="L161" s="44"/>
      <c r="M161" s="44"/>
      <c r="N161" s="72"/>
      <c r="O161" s="73"/>
      <c r="P161" s="44" t="str">
        <f t="shared" si="2"/>
        <v/>
      </c>
      <c r="Q161" s="44"/>
      <c r="R161" s="44"/>
      <c r="S161" s="44"/>
      <c r="T161" s="44"/>
      <c r="U161" s="44"/>
      <c r="V161" s="44"/>
      <c r="W161" s="44"/>
      <c r="X161" s="44"/>
      <c r="Y161" s="44"/>
      <c r="Z161" s="44"/>
    </row>
    <row r="162" spans="1:26" x14ac:dyDescent="0.25">
      <c r="A162" s="78"/>
      <c r="B162" s="78"/>
      <c r="C162" s="44"/>
      <c r="D162" s="85"/>
      <c r="E162" s="86"/>
      <c r="F162" s="86"/>
      <c r="G162" s="44"/>
      <c r="H162" s="44"/>
      <c r="I162" s="71"/>
      <c r="J162" s="44"/>
      <c r="K162" s="44"/>
      <c r="L162" s="44"/>
      <c r="M162" s="44"/>
      <c r="N162" s="72"/>
      <c r="O162" s="73"/>
      <c r="P162" s="44" t="str">
        <f t="shared" si="2"/>
        <v/>
      </c>
      <c r="Q162" s="44"/>
      <c r="R162" s="44"/>
      <c r="S162" s="44"/>
      <c r="T162" s="44"/>
      <c r="U162" s="44"/>
      <c r="V162" s="44"/>
      <c r="W162" s="44"/>
      <c r="X162" s="44"/>
      <c r="Y162" s="44"/>
      <c r="Z162" s="44"/>
    </row>
    <row r="163" spans="1:26" x14ac:dyDescent="0.25">
      <c r="A163" s="78"/>
      <c r="B163" s="78"/>
      <c r="C163" s="44"/>
      <c r="D163" s="85"/>
      <c r="E163" s="86"/>
      <c r="F163" s="86"/>
      <c r="G163" s="44"/>
      <c r="H163" s="44"/>
      <c r="I163" s="71"/>
      <c r="J163" s="44"/>
      <c r="K163" s="44"/>
      <c r="L163" s="44"/>
      <c r="M163" s="44"/>
      <c r="N163" s="72"/>
      <c r="O163" s="73"/>
      <c r="P163" s="44" t="str">
        <f t="shared" si="2"/>
        <v/>
      </c>
      <c r="Q163" s="44"/>
      <c r="R163" s="44"/>
      <c r="S163" s="44"/>
      <c r="T163" s="44"/>
      <c r="U163" s="44"/>
      <c r="V163" s="44"/>
      <c r="W163" s="44"/>
      <c r="X163" s="44"/>
      <c r="Y163" s="44"/>
      <c r="Z163" s="44"/>
    </row>
    <row r="164" spans="1:26" x14ac:dyDescent="0.25">
      <c r="A164" s="78"/>
      <c r="B164" s="78"/>
      <c r="C164" s="44"/>
      <c r="D164" s="85"/>
      <c r="E164" s="86"/>
      <c r="F164" s="86"/>
      <c r="G164" s="44"/>
      <c r="H164" s="44"/>
      <c r="I164" s="71"/>
      <c r="J164" s="44"/>
      <c r="K164" s="44"/>
      <c r="L164" s="44"/>
      <c r="M164" s="44"/>
      <c r="N164" s="72"/>
      <c r="O164" s="73"/>
      <c r="P164" s="44" t="str">
        <f t="shared" si="2"/>
        <v/>
      </c>
      <c r="Q164" s="44"/>
      <c r="R164" s="44"/>
      <c r="S164" s="44"/>
      <c r="T164" s="44"/>
      <c r="U164" s="44"/>
      <c r="V164" s="44"/>
      <c r="W164" s="44"/>
      <c r="X164" s="44"/>
      <c r="Y164" s="44"/>
      <c r="Z164" s="44"/>
    </row>
    <row r="165" spans="1:26" x14ac:dyDescent="0.25">
      <c r="A165" s="78"/>
      <c r="B165" s="78"/>
      <c r="C165" s="44"/>
      <c r="D165" s="85"/>
      <c r="E165" s="86"/>
      <c r="F165" s="86"/>
      <c r="G165" s="44"/>
      <c r="H165" s="44"/>
      <c r="I165" s="71"/>
      <c r="J165" s="44"/>
      <c r="K165" s="44"/>
      <c r="L165" s="44"/>
      <c r="M165" s="44"/>
      <c r="N165" s="72"/>
      <c r="O165" s="73"/>
      <c r="P165" s="44" t="str">
        <f t="shared" si="2"/>
        <v/>
      </c>
      <c r="Q165" s="44"/>
      <c r="R165" s="44"/>
      <c r="S165" s="44"/>
      <c r="T165" s="44"/>
      <c r="U165" s="44"/>
      <c r="V165" s="44"/>
      <c r="W165" s="44"/>
      <c r="X165" s="44"/>
      <c r="Y165" s="44"/>
      <c r="Z165" s="44"/>
    </row>
    <row r="166" spans="1:26" x14ac:dyDescent="0.25">
      <c r="A166" s="78"/>
      <c r="B166" s="78"/>
      <c r="C166" s="44"/>
      <c r="D166" s="85"/>
      <c r="E166" s="86"/>
      <c r="F166" s="86"/>
      <c r="G166" s="44"/>
      <c r="H166" s="44"/>
      <c r="I166" s="71"/>
      <c r="J166" s="44"/>
      <c r="K166" s="44"/>
      <c r="L166" s="44"/>
      <c r="M166" s="44"/>
      <c r="N166" s="72"/>
      <c r="O166" s="73"/>
      <c r="P166" s="44" t="str">
        <f t="shared" si="2"/>
        <v/>
      </c>
      <c r="Q166" s="44"/>
      <c r="R166" s="44"/>
      <c r="S166" s="44"/>
      <c r="T166" s="44"/>
      <c r="U166" s="44"/>
      <c r="V166" s="44"/>
      <c r="W166" s="44"/>
      <c r="X166" s="44"/>
      <c r="Y166" s="44"/>
      <c r="Z166" s="44"/>
    </row>
    <row r="167" spans="1:26" x14ac:dyDescent="0.25">
      <c r="A167" s="78"/>
      <c r="B167" s="78"/>
      <c r="C167" s="44"/>
      <c r="D167" s="85"/>
      <c r="E167" s="86"/>
      <c r="F167" s="86"/>
      <c r="G167" s="44"/>
      <c r="H167" s="44"/>
      <c r="I167" s="71"/>
      <c r="J167" s="44"/>
      <c r="K167" s="44"/>
      <c r="L167" s="44"/>
      <c r="M167" s="44"/>
      <c r="N167" s="72"/>
      <c r="O167" s="73"/>
      <c r="P167" s="44" t="str">
        <f t="shared" si="2"/>
        <v/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</row>
    <row r="168" spans="1:26" x14ac:dyDescent="0.25">
      <c r="A168" s="78"/>
      <c r="B168" s="78"/>
      <c r="C168" s="44"/>
      <c r="D168" s="85"/>
      <c r="E168" s="86"/>
      <c r="F168" s="86"/>
      <c r="G168" s="44"/>
      <c r="H168" s="44"/>
      <c r="I168" s="71"/>
      <c r="J168" s="44"/>
      <c r="K168" s="44"/>
      <c r="L168" s="44"/>
      <c r="M168" s="44"/>
      <c r="N168" s="72"/>
      <c r="O168" s="73"/>
      <c r="P168" s="44" t="str">
        <f t="shared" si="2"/>
        <v/>
      </c>
      <c r="Q168" s="44"/>
      <c r="R168" s="44"/>
      <c r="S168" s="44"/>
      <c r="T168" s="44"/>
      <c r="U168" s="44"/>
      <c r="V168" s="44"/>
      <c r="W168" s="44"/>
      <c r="X168" s="44"/>
      <c r="Y168" s="44"/>
      <c r="Z168" s="44"/>
    </row>
    <row r="169" spans="1:26" x14ac:dyDescent="0.25">
      <c r="A169" s="78"/>
      <c r="B169" s="78"/>
      <c r="C169" s="44"/>
      <c r="D169" s="85"/>
      <c r="E169" s="86"/>
      <c r="F169" s="86"/>
      <c r="G169" s="44"/>
      <c r="H169" s="44"/>
      <c r="I169" s="71"/>
      <c r="J169" s="44"/>
      <c r="K169" s="44"/>
      <c r="L169" s="44"/>
      <c r="M169" s="44"/>
      <c r="N169" s="72"/>
      <c r="O169" s="73"/>
      <c r="P169" s="44" t="str">
        <f t="shared" si="2"/>
        <v/>
      </c>
      <c r="Q169" s="44"/>
      <c r="R169" s="44"/>
      <c r="S169" s="44"/>
      <c r="T169" s="44"/>
      <c r="U169" s="44"/>
      <c r="V169" s="44"/>
      <c r="W169" s="44"/>
      <c r="X169" s="44"/>
      <c r="Y169" s="44"/>
      <c r="Z169" s="44"/>
    </row>
    <row r="170" spans="1:26" x14ac:dyDescent="0.25">
      <c r="A170" s="78"/>
      <c r="B170" s="78"/>
      <c r="C170" s="44"/>
      <c r="D170" s="85"/>
      <c r="E170" s="86"/>
      <c r="F170" s="86"/>
      <c r="G170" s="44"/>
      <c r="H170" s="44"/>
      <c r="I170" s="71"/>
      <c r="J170" s="44"/>
      <c r="K170" s="44"/>
      <c r="L170" s="44"/>
      <c r="M170" s="44"/>
      <c r="N170" s="72"/>
      <c r="O170" s="73"/>
      <c r="P170" s="44" t="str">
        <f t="shared" si="2"/>
        <v/>
      </c>
      <c r="Q170" s="44"/>
      <c r="R170" s="44"/>
      <c r="S170" s="44"/>
      <c r="T170" s="44"/>
      <c r="U170" s="44"/>
      <c r="V170" s="44"/>
      <c r="W170" s="44"/>
      <c r="X170" s="44"/>
      <c r="Y170" s="44"/>
      <c r="Z170" s="44"/>
    </row>
    <row r="171" spans="1:26" x14ac:dyDescent="0.25">
      <c r="A171" s="78"/>
      <c r="B171" s="78"/>
      <c r="C171" s="44"/>
      <c r="D171" s="85"/>
      <c r="E171" s="86"/>
      <c r="F171" s="86"/>
      <c r="G171" s="44"/>
      <c r="H171" s="44"/>
      <c r="I171" s="71"/>
      <c r="J171" s="44"/>
      <c r="K171" s="44"/>
      <c r="L171" s="44"/>
      <c r="M171" s="44"/>
      <c r="N171" s="72"/>
      <c r="O171" s="73"/>
      <c r="P171" s="44" t="str">
        <f t="shared" si="2"/>
        <v/>
      </c>
      <c r="Q171" s="44"/>
      <c r="R171" s="44"/>
      <c r="S171" s="44"/>
      <c r="T171" s="44"/>
      <c r="U171" s="44"/>
      <c r="V171" s="44"/>
      <c r="W171" s="44"/>
      <c r="X171" s="44"/>
      <c r="Y171" s="44"/>
      <c r="Z171" s="44"/>
    </row>
    <row r="172" spans="1:26" x14ac:dyDescent="0.25">
      <c r="A172" s="78"/>
      <c r="B172" s="78"/>
      <c r="C172" s="44"/>
      <c r="D172" s="85"/>
      <c r="E172" s="86"/>
      <c r="F172" s="86"/>
      <c r="G172" s="44"/>
      <c r="H172" s="44"/>
      <c r="I172" s="71"/>
      <c r="J172" s="44"/>
      <c r="K172" s="44"/>
      <c r="L172" s="44"/>
      <c r="M172" s="44"/>
      <c r="N172" s="72"/>
      <c r="O172" s="73"/>
      <c r="P172" s="44" t="str">
        <f t="shared" si="2"/>
        <v/>
      </c>
      <c r="Q172" s="44"/>
      <c r="R172" s="44"/>
      <c r="S172" s="44"/>
      <c r="T172" s="44"/>
      <c r="U172" s="44"/>
      <c r="V172" s="44"/>
      <c r="W172" s="44"/>
      <c r="X172" s="44"/>
      <c r="Y172" s="44"/>
      <c r="Z172" s="44"/>
    </row>
    <row r="173" spans="1:26" x14ac:dyDescent="0.25">
      <c r="A173" s="78"/>
      <c r="B173" s="78"/>
      <c r="C173" s="44"/>
      <c r="D173" s="85"/>
      <c r="E173" s="86"/>
      <c r="F173" s="86"/>
      <c r="G173" s="44"/>
      <c r="H173" s="44"/>
      <c r="I173" s="71"/>
      <c r="J173" s="44"/>
      <c r="K173" s="44"/>
      <c r="L173" s="44"/>
      <c r="M173" s="44"/>
      <c r="N173" s="72"/>
      <c r="O173" s="73"/>
      <c r="P173" s="44" t="str">
        <f t="shared" si="2"/>
        <v/>
      </c>
      <c r="Q173" s="44"/>
      <c r="R173" s="44"/>
      <c r="S173" s="44"/>
      <c r="T173" s="44"/>
      <c r="U173" s="44"/>
      <c r="V173" s="44"/>
      <c r="W173" s="44"/>
      <c r="X173" s="44"/>
      <c r="Y173" s="44"/>
      <c r="Z173" s="44"/>
    </row>
    <row r="174" spans="1:26" x14ac:dyDescent="0.25">
      <c r="A174" s="78"/>
      <c r="B174" s="78"/>
      <c r="C174" s="44"/>
      <c r="D174" s="85"/>
      <c r="E174" s="86"/>
      <c r="F174" s="86"/>
      <c r="G174" s="44"/>
      <c r="H174" s="44"/>
      <c r="I174" s="71"/>
      <c r="J174" s="44"/>
      <c r="K174" s="44"/>
      <c r="L174" s="44"/>
      <c r="M174" s="44"/>
      <c r="N174" s="72"/>
      <c r="O174" s="73"/>
      <c r="P174" s="44" t="str">
        <f t="shared" si="2"/>
        <v/>
      </c>
      <c r="Q174" s="44"/>
      <c r="R174" s="44"/>
      <c r="S174" s="44"/>
      <c r="T174" s="44"/>
      <c r="U174" s="44"/>
      <c r="V174" s="44"/>
      <c r="W174" s="44"/>
      <c r="X174" s="44"/>
      <c r="Y174" s="44"/>
      <c r="Z174" s="44"/>
    </row>
    <row r="175" spans="1:26" x14ac:dyDescent="0.25">
      <c r="A175" s="78"/>
      <c r="B175" s="78"/>
      <c r="C175" s="44"/>
      <c r="D175" s="85"/>
      <c r="E175" s="86"/>
      <c r="F175" s="86"/>
      <c r="G175" s="44"/>
      <c r="H175" s="44"/>
      <c r="I175" s="71"/>
      <c r="J175" s="44"/>
      <c r="K175" s="44"/>
      <c r="L175" s="44"/>
      <c r="M175" s="44"/>
      <c r="N175" s="72"/>
      <c r="O175" s="73"/>
      <c r="P175" s="44" t="str">
        <f t="shared" si="2"/>
        <v/>
      </c>
      <c r="Q175" s="44"/>
      <c r="R175" s="44"/>
      <c r="S175" s="44"/>
      <c r="T175" s="44"/>
      <c r="U175" s="44"/>
      <c r="V175" s="44"/>
      <c r="W175" s="44"/>
      <c r="X175" s="44"/>
      <c r="Y175" s="44"/>
      <c r="Z175" s="44"/>
    </row>
    <row r="176" spans="1:26" x14ac:dyDescent="0.25">
      <c r="A176" s="78"/>
      <c r="B176" s="78"/>
      <c r="C176" s="44"/>
      <c r="D176" s="85"/>
      <c r="E176" s="86"/>
      <c r="F176" s="86"/>
      <c r="G176" s="44"/>
      <c r="H176" s="44"/>
      <c r="I176" s="71"/>
      <c r="J176" s="44"/>
      <c r="K176" s="44"/>
      <c r="L176" s="44"/>
      <c r="M176" s="44"/>
      <c r="N176" s="72"/>
      <c r="O176" s="73"/>
      <c r="P176" s="44" t="str">
        <f t="shared" si="2"/>
        <v/>
      </c>
      <c r="Q176" s="44"/>
      <c r="R176" s="44"/>
      <c r="S176" s="44"/>
      <c r="T176" s="44"/>
      <c r="U176" s="44"/>
      <c r="V176" s="44"/>
      <c r="W176" s="44"/>
      <c r="X176" s="44"/>
      <c r="Y176" s="44"/>
      <c r="Z176" s="44"/>
    </row>
    <row r="177" spans="1:26" x14ac:dyDescent="0.25">
      <c r="A177" s="78"/>
      <c r="B177" s="78"/>
      <c r="C177" s="44"/>
      <c r="D177" s="85"/>
      <c r="E177" s="86"/>
      <c r="F177" s="86"/>
      <c r="G177" s="44"/>
      <c r="H177" s="44"/>
      <c r="I177" s="71"/>
      <c r="J177" s="44"/>
      <c r="K177" s="44"/>
      <c r="L177" s="44"/>
      <c r="M177" s="44"/>
      <c r="N177" s="72"/>
      <c r="O177" s="73"/>
      <c r="P177" s="44" t="str">
        <f t="shared" si="2"/>
        <v/>
      </c>
      <c r="Q177" s="44"/>
      <c r="R177" s="44"/>
      <c r="S177" s="44"/>
      <c r="T177" s="44"/>
      <c r="U177" s="44"/>
      <c r="V177" s="44"/>
      <c r="W177" s="44"/>
      <c r="X177" s="44"/>
      <c r="Y177" s="44"/>
      <c r="Z177" s="44"/>
    </row>
    <row r="178" spans="1:26" x14ac:dyDescent="0.25">
      <c r="A178" s="78"/>
      <c r="B178" s="78"/>
      <c r="C178" s="44"/>
      <c r="D178" s="85"/>
      <c r="E178" s="86"/>
      <c r="F178" s="86"/>
      <c r="G178" s="44"/>
      <c r="H178" s="44"/>
      <c r="I178" s="71"/>
      <c r="J178" s="44"/>
      <c r="K178" s="44"/>
      <c r="L178" s="44"/>
      <c r="M178" s="44"/>
      <c r="N178" s="72"/>
      <c r="O178" s="73"/>
      <c r="P178" s="44" t="str">
        <f t="shared" si="2"/>
        <v/>
      </c>
      <c r="Q178" s="44"/>
      <c r="R178" s="44"/>
      <c r="S178" s="44"/>
      <c r="T178" s="44"/>
      <c r="U178" s="44"/>
      <c r="V178" s="44"/>
      <c r="W178" s="44"/>
      <c r="X178" s="44"/>
      <c r="Y178" s="44"/>
      <c r="Z178" s="44"/>
    </row>
    <row r="179" spans="1:26" x14ac:dyDescent="0.25">
      <c r="A179" s="78"/>
      <c r="B179" s="78"/>
      <c r="C179" s="44"/>
      <c r="D179" s="85"/>
      <c r="E179" s="86"/>
      <c r="F179" s="86"/>
      <c r="G179" s="44"/>
      <c r="H179" s="44"/>
      <c r="I179" s="71"/>
      <c r="J179" s="44"/>
      <c r="K179" s="44"/>
      <c r="L179" s="44"/>
      <c r="M179" s="44"/>
      <c r="N179" s="72"/>
      <c r="O179" s="73"/>
      <c r="P179" s="44" t="str">
        <f t="shared" si="2"/>
        <v/>
      </c>
      <c r="Q179" s="44"/>
      <c r="R179" s="44"/>
      <c r="S179" s="44"/>
      <c r="T179" s="44"/>
      <c r="U179" s="44"/>
      <c r="V179" s="44"/>
      <c r="W179" s="44"/>
      <c r="X179" s="44"/>
      <c r="Y179" s="44"/>
      <c r="Z179" s="44"/>
    </row>
    <row r="180" spans="1:26" x14ac:dyDescent="0.25">
      <c r="A180" s="78"/>
      <c r="B180" s="78"/>
      <c r="C180" s="44"/>
      <c r="D180" s="85"/>
      <c r="E180" s="86"/>
      <c r="F180" s="86"/>
      <c r="G180" s="44"/>
      <c r="H180" s="44"/>
      <c r="I180" s="71"/>
      <c r="J180" s="44"/>
      <c r="K180" s="44"/>
      <c r="L180" s="44"/>
      <c r="M180" s="44"/>
      <c r="N180" s="72"/>
      <c r="O180" s="73"/>
      <c r="P180" s="44" t="str">
        <f t="shared" si="2"/>
        <v/>
      </c>
      <c r="Q180" s="44"/>
      <c r="R180" s="44"/>
      <c r="S180" s="44"/>
      <c r="T180" s="44"/>
      <c r="U180" s="44"/>
      <c r="V180" s="44"/>
      <c r="W180" s="44"/>
      <c r="X180" s="44"/>
      <c r="Y180" s="44"/>
      <c r="Z180" s="44"/>
    </row>
    <row r="181" spans="1:26" x14ac:dyDescent="0.25">
      <c r="A181" s="78"/>
      <c r="B181" s="78"/>
      <c r="C181" s="44"/>
      <c r="D181" s="85"/>
      <c r="E181" s="86"/>
      <c r="F181" s="86"/>
      <c r="G181" s="44"/>
      <c r="H181" s="44"/>
      <c r="I181" s="71"/>
      <c r="J181" s="44"/>
      <c r="K181" s="44"/>
      <c r="L181" s="44"/>
      <c r="M181" s="44"/>
      <c r="N181" s="72"/>
      <c r="O181" s="73"/>
      <c r="P181" s="44" t="str">
        <f t="shared" si="2"/>
        <v/>
      </c>
      <c r="Q181" s="44"/>
      <c r="R181" s="44"/>
      <c r="S181" s="44"/>
      <c r="T181" s="44"/>
      <c r="U181" s="44"/>
      <c r="V181" s="44"/>
      <c r="W181" s="44"/>
      <c r="X181" s="44"/>
      <c r="Y181" s="44"/>
      <c r="Z181" s="44"/>
    </row>
    <row r="182" spans="1:26" x14ac:dyDescent="0.25">
      <c r="A182" s="78"/>
      <c r="B182" s="78"/>
      <c r="C182" s="44"/>
      <c r="D182" s="85"/>
      <c r="E182" s="86"/>
      <c r="F182" s="86"/>
      <c r="G182" s="44"/>
      <c r="H182" s="44"/>
      <c r="I182" s="71"/>
      <c r="J182" s="44"/>
      <c r="K182" s="44"/>
      <c r="L182" s="44"/>
      <c r="M182" s="44"/>
      <c r="N182" s="72"/>
      <c r="O182" s="73"/>
      <c r="P182" s="44" t="str">
        <f t="shared" si="2"/>
        <v/>
      </c>
      <c r="Q182" s="44"/>
      <c r="R182" s="44"/>
      <c r="S182" s="44"/>
      <c r="T182" s="44"/>
      <c r="U182" s="44"/>
      <c r="V182" s="44"/>
      <c r="W182" s="44"/>
      <c r="X182" s="44"/>
      <c r="Y182" s="44"/>
      <c r="Z182" s="44"/>
    </row>
    <row r="183" spans="1:26" x14ac:dyDescent="0.25">
      <c r="A183" s="78"/>
      <c r="B183" s="78"/>
      <c r="C183" s="44"/>
      <c r="D183" s="85"/>
      <c r="E183" s="86"/>
      <c r="F183" s="86"/>
      <c r="G183" s="44"/>
      <c r="H183" s="44"/>
      <c r="I183" s="71"/>
      <c r="J183" s="44"/>
      <c r="K183" s="44"/>
      <c r="L183" s="44"/>
      <c r="M183" s="44"/>
      <c r="N183" s="72"/>
      <c r="O183" s="73"/>
      <c r="P183" s="44" t="str">
        <f t="shared" si="2"/>
        <v/>
      </c>
      <c r="Q183" s="44"/>
      <c r="R183" s="44"/>
      <c r="S183" s="44"/>
      <c r="T183" s="44"/>
      <c r="U183" s="44"/>
      <c r="V183" s="44"/>
      <c r="W183" s="44"/>
      <c r="X183" s="44"/>
      <c r="Y183" s="44"/>
      <c r="Z183" s="44"/>
    </row>
    <row r="184" spans="1:26" x14ac:dyDescent="0.25">
      <c r="A184" s="78"/>
      <c r="B184" s="78"/>
      <c r="C184" s="44"/>
      <c r="D184" s="85"/>
      <c r="E184" s="86"/>
      <c r="F184" s="86"/>
      <c r="G184" s="44"/>
      <c r="H184" s="44"/>
      <c r="I184" s="71"/>
      <c r="J184" s="44"/>
      <c r="K184" s="44"/>
      <c r="L184" s="44"/>
      <c r="M184" s="44"/>
      <c r="N184" s="72"/>
      <c r="O184" s="73"/>
      <c r="P184" s="44" t="str">
        <f t="shared" si="2"/>
        <v/>
      </c>
      <c r="Q184" s="44"/>
      <c r="R184" s="44"/>
      <c r="S184" s="44"/>
      <c r="T184" s="44"/>
      <c r="U184" s="44"/>
      <c r="V184" s="44"/>
      <c r="W184" s="44"/>
      <c r="X184" s="44"/>
      <c r="Y184" s="44"/>
      <c r="Z184" s="44"/>
    </row>
    <row r="185" spans="1:26" x14ac:dyDescent="0.25">
      <c r="A185" s="78"/>
      <c r="B185" s="78"/>
      <c r="C185" s="44"/>
      <c r="D185" s="85"/>
      <c r="E185" s="86"/>
      <c r="F185" s="86"/>
      <c r="G185" s="44"/>
      <c r="H185" s="44"/>
      <c r="I185" s="71"/>
      <c r="J185" s="44"/>
      <c r="K185" s="44"/>
      <c r="L185" s="44"/>
      <c r="M185" s="44"/>
      <c r="N185" s="72"/>
      <c r="O185" s="73"/>
      <c r="P185" s="44" t="str">
        <f t="shared" si="2"/>
        <v/>
      </c>
      <c r="Q185" s="44"/>
      <c r="R185" s="44"/>
      <c r="S185" s="44"/>
      <c r="T185" s="44"/>
      <c r="U185" s="44"/>
      <c r="V185" s="44"/>
      <c r="W185" s="44"/>
      <c r="X185" s="44"/>
      <c r="Y185" s="44"/>
      <c r="Z185" s="44"/>
    </row>
    <row r="186" spans="1:26" x14ac:dyDescent="0.25">
      <c r="A186" s="78"/>
      <c r="B186" s="78"/>
      <c r="C186" s="44"/>
      <c r="D186" s="85"/>
      <c r="E186" s="86"/>
      <c r="F186" s="86"/>
      <c r="G186" s="44"/>
      <c r="H186" s="44"/>
      <c r="I186" s="71"/>
      <c r="J186" s="44"/>
      <c r="K186" s="44"/>
      <c r="L186" s="44"/>
      <c r="M186" s="44"/>
      <c r="N186" s="72"/>
      <c r="O186" s="73"/>
      <c r="P186" s="44" t="str">
        <f t="shared" si="2"/>
        <v/>
      </c>
      <c r="Q186" s="44"/>
      <c r="R186" s="44"/>
      <c r="S186" s="44"/>
      <c r="T186" s="44"/>
      <c r="U186" s="44"/>
      <c r="V186" s="44"/>
      <c r="W186" s="44"/>
      <c r="X186" s="44"/>
      <c r="Y186" s="44"/>
      <c r="Z186" s="44"/>
    </row>
    <row r="187" spans="1:26" x14ac:dyDescent="0.25">
      <c r="A187" s="78"/>
      <c r="B187" s="78"/>
      <c r="C187" s="44"/>
      <c r="D187" s="85"/>
      <c r="E187" s="86"/>
      <c r="F187" s="86"/>
      <c r="G187" s="44"/>
      <c r="H187" s="44"/>
      <c r="I187" s="71"/>
      <c r="J187" s="44"/>
      <c r="K187" s="44"/>
      <c r="L187" s="44"/>
      <c r="M187" s="44"/>
      <c r="N187" s="72"/>
      <c r="O187" s="73"/>
      <c r="P187" s="44" t="str">
        <f t="shared" si="2"/>
        <v/>
      </c>
      <c r="Q187" s="44"/>
      <c r="R187" s="44"/>
      <c r="S187" s="44"/>
      <c r="T187" s="44"/>
      <c r="U187" s="44"/>
      <c r="V187" s="44"/>
      <c r="W187" s="44"/>
      <c r="X187" s="44"/>
      <c r="Y187" s="44"/>
      <c r="Z187" s="44"/>
    </row>
    <row r="188" spans="1:26" x14ac:dyDescent="0.25">
      <c r="A188" s="78"/>
      <c r="B188" s="78"/>
      <c r="C188" s="44"/>
      <c r="D188" s="85"/>
      <c r="E188" s="86"/>
      <c r="F188" s="86"/>
      <c r="G188" s="44"/>
      <c r="H188" s="44"/>
      <c r="I188" s="71"/>
      <c r="J188" s="44"/>
      <c r="K188" s="44"/>
      <c r="L188" s="44"/>
      <c r="M188" s="44"/>
      <c r="N188" s="72"/>
      <c r="O188" s="73"/>
      <c r="P188" s="44" t="str">
        <f t="shared" si="2"/>
        <v/>
      </c>
      <c r="Q188" s="44"/>
      <c r="R188" s="44"/>
      <c r="S188" s="44"/>
      <c r="T188" s="44"/>
      <c r="U188" s="44"/>
      <c r="V188" s="44"/>
      <c r="W188" s="44"/>
      <c r="X188" s="44"/>
      <c r="Y188" s="44"/>
      <c r="Z188" s="44"/>
    </row>
    <row r="189" spans="1:26" x14ac:dyDescent="0.25">
      <c r="A189" s="78"/>
      <c r="B189" s="78"/>
      <c r="C189" s="44"/>
      <c r="D189" s="85"/>
      <c r="E189" s="86"/>
      <c r="F189" s="86"/>
      <c r="G189" s="44"/>
      <c r="H189" s="44"/>
      <c r="I189" s="71"/>
      <c r="J189" s="44"/>
      <c r="K189" s="44"/>
      <c r="L189" s="44"/>
      <c r="M189" s="44"/>
      <c r="N189" s="72"/>
      <c r="O189" s="73"/>
      <c r="P189" s="44" t="str">
        <f t="shared" si="2"/>
        <v/>
      </c>
      <c r="Q189" s="44"/>
      <c r="R189" s="44"/>
      <c r="S189" s="44"/>
      <c r="T189" s="44"/>
      <c r="U189" s="44"/>
      <c r="V189" s="44"/>
      <c r="W189" s="44"/>
      <c r="X189" s="44"/>
      <c r="Y189" s="44"/>
      <c r="Z189" s="44"/>
    </row>
    <row r="190" spans="1:26" x14ac:dyDescent="0.25">
      <c r="A190" s="78"/>
      <c r="B190" s="78"/>
      <c r="C190" s="44"/>
      <c r="D190" s="85"/>
      <c r="E190" s="86"/>
      <c r="F190" s="86"/>
      <c r="G190" s="44"/>
      <c r="H190" s="44"/>
      <c r="I190" s="71"/>
      <c r="J190" s="44"/>
      <c r="K190" s="44"/>
      <c r="L190" s="44"/>
      <c r="M190" s="44"/>
      <c r="N190" s="72"/>
      <c r="O190" s="73"/>
      <c r="P190" s="44" t="str">
        <f t="shared" si="2"/>
        <v/>
      </c>
      <c r="Q190" s="44"/>
      <c r="R190" s="44"/>
      <c r="S190" s="44"/>
      <c r="T190" s="44"/>
      <c r="U190" s="44"/>
      <c r="V190" s="44"/>
      <c r="W190" s="44"/>
      <c r="X190" s="44"/>
      <c r="Y190" s="44"/>
      <c r="Z190" s="44"/>
    </row>
    <row r="191" spans="1:26" x14ac:dyDescent="0.25">
      <c r="A191" s="78"/>
      <c r="B191" s="78"/>
      <c r="C191" s="44"/>
      <c r="D191" s="85"/>
      <c r="E191" s="86"/>
      <c r="F191" s="86"/>
      <c r="G191" s="44"/>
      <c r="H191" s="44"/>
      <c r="I191" s="71"/>
      <c r="J191" s="44"/>
      <c r="K191" s="44"/>
      <c r="L191" s="44"/>
      <c r="M191" s="44"/>
      <c r="N191" s="72"/>
      <c r="O191" s="73"/>
      <c r="P191" s="44" t="str">
        <f t="shared" si="2"/>
        <v/>
      </c>
      <c r="Q191" s="44"/>
      <c r="R191" s="44"/>
      <c r="S191" s="44"/>
      <c r="T191" s="44"/>
      <c r="U191" s="44"/>
      <c r="V191" s="44"/>
      <c r="W191" s="44"/>
      <c r="X191" s="44"/>
      <c r="Y191" s="44"/>
      <c r="Z191" s="44"/>
    </row>
    <row r="192" spans="1:26" x14ac:dyDescent="0.25">
      <c r="A192" s="78"/>
      <c r="B192" s="78"/>
      <c r="C192" s="44"/>
      <c r="D192" s="85"/>
      <c r="E192" s="86"/>
      <c r="F192" s="86"/>
      <c r="G192" s="44"/>
      <c r="H192" s="44"/>
      <c r="I192" s="71"/>
      <c r="J192" s="44"/>
      <c r="K192" s="44"/>
      <c r="L192" s="44"/>
      <c r="M192" s="44"/>
      <c r="N192" s="72"/>
      <c r="O192" s="73"/>
      <c r="P192" s="44" t="str">
        <f t="shared" si="2"/>
        <v/>
      </c>
      <c r="Q192" s="44"/>
      <c r="R192" s="44"/>
      <c r="S192" s="44"/>
      <c r="T192" s="44"/>
      <c r="U192" s="44"/>
      <c r="V192" s="44"/>
      <c r="W192" s="44"/>
      <c r="X192" s="44"/>
      <c r="Y192" s="44"/>
      <c r="Z192" s="44"/>
    </row>
    <row r="193" spans="1:26" x14ac:dyDescent="0.25">
      <c r="A193" s="78"/>
      <c r="B193" s="78"/>
      <c r="C193" s="44"/>
      <c r="D193" s="85"/>
      <c r="E193" s="86"/>
      <c r="F193" s="86"/>
      <c r="G193" s="44"/>
      <c r="H193" s="44"/>
      <c r="I193" s="71"/>
      <c r="J193" s="44"/>
      <c r="K193" s="44"/>
      <c r="L193" s="44"/>
      <c r="M193" s="44"/>
      <c r="N193" s="72"/>
      <c r="O193" s="73"/>
      <c r="P193" s="44" t="str">
        <f t="shared" si="2"/>
        <v/>
      </c>
      <c r="Q193" s="44"/>
      <c r="R193" s="44"/>
      <c r="S193" s="44"/>
      <c r="T193" s="44"/>
      <c r="U193" s="44"/>
      <c r="V193" s="44"/>
      <c r="W193" s="44"/>
      <c r="X193" s="44"/>
      <c r="Y193" s="44"/>
      <c r="Z193" s="44"/>
    </row>
    <row r="194" spans="1:26" x14ac:dyDescent="0.25">
      <c r="A194" s="78"/>
      <c r="B194" s="78"/>
      <c r="C194" s="44"/>
      <c r="D194" s="85"/>
      <c r="E194" s="86"/>
      <c r="F194" s="86"/>
      <c r="G194" s="44"/>
      <c r="H194" s="44"/>
      <c r="I194" s="71"/>
      <c r="J194" s="44"/>
      <c r="K194" s="44"/>
      <c r="L194" s="44"/>
      <c r="M194" s="44"/>
      <c r="N194" s="72"/>
      <c r="O194" s="73"/>
      <c r="P194" s="44" t="str">
        <f t="shared" si="2"/>
        <v/>
      </c>
      <c r="Q194" s="44"/>
      <c r="R194" s="44"/>
      <c r="S194" s="44"/>
      <c r="T194" s="44"/>
      <c r="U194" s="44"/>
      <c r="V194" s="44"/>
      <c r="W194" s="44"/>
      <c r="X194" s="44"/>
      <c r="Y194" s="44"/>
      <c r="Z194" s="44"/>
    </row>
    <row r="195" spans="1:26" x14ac:dyDescent="0.25">
      <c r="A195" s="78"/>
      <c r="B195" s="78"/>
      <c r="C195" s="44"/>
      <c r="D195" s="85"/>
      <c r="E195" s="86"/>
      <c r="F195" s="86"/>
      <c r="G195" s="44"/>
      <c r="H195" s="44"/>
      <c r="I195" s="71"/>
      <c r="J195" s="44"/>
      <c r="K195" s="44"/>
      <c r="L195" s="44"/>
      <c r="M195" s="44"/>
      <c r="N195" s="72"/>
      <c r="O195" s="73"/>
      <c r="P195" s="44" t="str">
        <f t="shared" si="2"/>
        <v/>
      </c>
      <c r="Q195" s="44"/>
      <c r="R195" s="44"/>
      <c r="S195" s="44"/>
      <c r="T195" s="44"/>
      <c r="U195" s="44"/>
      <c r="V195" s="44"/>
      <c r="W195" s="44"/>
      <c r="X195" s="44"/>
      <c r="Y195" s="44"/>
      <c r="Z195" s="44"/>
    </row>
    <row r="196" spans="1:26" x14ac:dyDescent="0.25">
      <c r="A196" s="78"/>
      <c r="B196" s="78"/>
      <c r="C196" s="44"/>
      <c r="D196" s="85"/>
      <c r="E196" s="86"/>
      <c r="F196" s="86"/>
      <c r="G196" s="44"/>
      <c r="H196" s="44"/>
      <c r="I196" s="71"/>
      <c r="J196" s="44"/>
      <c r="K196" s="44"/>
      <c r="L196" s="44"/>
      <c r="M196" s="44"/>
      <c r="N196" s="72"/>
      <c r="O196" s="73"/>
      <c r="P196" s="44" t="str">
        <f t="shared" si="2"/>
        <v/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</row>
    <row r="197" spans="1:26" x14ac:dyDescent="0.25">
      <c r="A197" s="78"/>
      <c r="B197" s="78"/>
      <c r="C197" s="44"/>
      <c r="D197" s="85"/>
      <c r="E197" s="86"/>
      <c r="F197" s="86"/>
      <c r="G197" s="44"/>
      <c r="H197" s="44"/>
      <c r="I197" s="71"/>
      <c r="J197" s="44"/>
      <c r="K197" s="44"/>
      <c r="L197" s="44"/>
      <c r="M197" s="44"/>
      <c r="N197" s="72"/>
      <c r="O197" s="73"/>
      <c r="P197" s="44" t="str">
        <f t="shared" si="2"/>
        <v/>
      </c>
      <c r="Q197" s="44"/>
      <c r="R197" s="44"/>
      <c r="S197" s="44"/>
      <c r="T197" s="44"/>
      <c r="U197" s="44"/>
      <c r="V197" s="44"/>
      <c r="W197" s="44"/>
      <c r="X197" s="44"/>
      <c r="Y197" s="44"/>
      <c r="Z197" s="44"/>
    </row>
    <row r="198" spans="1:26" x14ac:dyDescent="0.25">
      <c r="A198" s="78"/>
      <c r="B198" s="78"/>
      <c r="C198" s="44"/>
      <c r="D198" s="44"/>
      <c r="E198" s="44"/>
      <c r="F198" s="44"/>
      <c r="G198" s="44"/>
      <c r="H198" s="44"/>
      <c r="I198" s="71"/>
      <c r="J198" s="44"/>
      <c r="K198" s="44"/>
      <c r="L198" s="44"/>
      <c r="M198" s="44"/>
      <c r="N198" s="44"/>
      <c r="O198" s="73"/>
      <c r="P198" s="44" t="str">
        <f t="shared" si="2"/>
        <v/>
      </c>
      <c r="Q198" s="44"/>
      <c r="R198" s="44"/>
      <c r="S198" s="44"/>
      <c r="T198" s="44"/>
      <c r="U198" s="44"/>
      <c r="V198" s="44"/>
      <c r="W198" s="44"/>
      <c r="X198" s="44"/>
      <c r="Y198" s="44"/>
      <c r="Z198" s="44"/>
    </row>
    <row r="199" spans="1:26" x14ac:dyDescent="0.25">
      <c r="A199" s="78"/>
      <c r="B199" s="78"/>
      <c r="C199" s="44"/>
      <c r="D199" s="44"/>
      <c r="E199" s="44"/>
      <c r="F199" s="44"/>
      <c r="G199" s="44"/>
      <c r="H199" s="44"/>
      <c r="I199" s="71"/>
      <c r="J199" s="44"/>
      <c r="K199" s="44"/>
      <c r="L199" s="44"/>
      <c r="M199" s="44"/>
      <c r="N199" s="44"/>
      <c r="O199" s="73"/>
      <c r="P199" s="44" t="str">
        <f t="shared" ref="P199:P262" si="3">IF(I199="","",SUMIFS(OrderItems_Qty,OrderItems_Type,"PURCHASE",OrderItems_SKU,I199)-SUMIFS(OrderItems_Qty,OrderItems_Type,"SALE",OrderItems_SKU,I199))</f>
        <v/>
      </c>
      <c r="Q199" s="44"/>
      <c r="R199" s="44"/>
      <c r="S199" s="44"/>
      <c r="T199" s="44"/>
      <c r="U199" s="44"/>
      <c r="V199" s="44"/>
      <c r="W199" s="44"/>
      <c r="X199" s="44"/>
      <c r="Y199" s="44"/>
      <c r="Z199" s="44"/>
    </row>
    <row r="200" spans="1:26" x14ac:dyDescent="0.25">
      <c r="A200" s="78"/>
      <c r="B200" s="78"/>
      <c r="C200" s="44"/>
      <c r="D200" s="44"/>
      <c r="E200" s="44"/>
      <c r="F200" s="44"/>
      <c r="G200" s="44"/>
      <c r="H200" s="44"/>
      <c r="I200" s="71"/>
      <c r="J200" s="44"/>
      <c r="K200" s="44"/>
      <c r="L200" s="44"/>
      <c r="M200" s="44"/>
      <c r="N200" s="44"/>
      <c r="O200" s="73"/>
      <c r="P200" s="44" t="str">
        <f t="shared" si="3"/>
        <v/>
      </c>
      <c r="Q200" s="44"/>
      <c r="R200" s="44"/>
      <c r="S200" s="44"/>
      <c r="T200" s="44"/>
      <c r="U200" s="44"/>
      <c r="V200" s="44"/>
      <c r="W200" s="44"/>
      <c r="X200" s="44"/>
      <c r="Y200" s="44"/>
      <c r="Z200" s="44"/>
    </row>
    <row r="201" spans="1:26" x14ac:dyDescent="0.25">
      <c r="A201" s="78"/>
      <c r="B201" s="78"/>
      <c r="C201" s="44"/>
      <c r="D201" s="44"/>
      <c r="E201" s="44"/>
      <c r="F201" s="44"/>
      <c r="G201" s="44"/>
      <c r="H201" s="44"/>
      <c r="I201" s="71"/>
      <c r="J201" s="44"/>
      <c r="K201" s="44"/>
      <c r="L201" s="44"/>
      <c r="M201" s="44"/>
      <c r="N201" s="44"/>
      <c r="O201" s="73"/>
      <c r="P201" s="44" t="str">
        <f t="shared" si="3"/>
        <v/>
      </c>
      <c r="Q201" s="44"/>
      <c r="R201" s="44"/>
      <c r="S201" s="44"/>
      <c r="T201" s="44"/>
      <c r="U201" s="44"/>
      <c r="V201" s="44"/>
      <c r="W201" s="44"/>
      <c r="X201" s="44"/>
      <c r="Y201" s="44"/>
      <c r="Z201" s="44"/>
    </row>
    <row r="202" spans="1:26" x14ac:dyDescent="0.25">
      <c r="A202" s="78"/>
      <c r="B202" s="78"/>
      <c r="C202" s="44"/>
      <c r="D202" s="44"/>
      <c r="E202" s="44"/>
      <c r="F202" s="44"/>
      <c r="G202" s="44"/>
      <c r="H202" s="44"/>
      <c r="I202" s="71"/>
      <c r="J202" s="44"/>
      <c r="K202" s="44"/>
      <c r="L202" s="44"/>
      <c r="M202" s="44"/>
      <c r="N202" s="44"/>
      <c r="O202" s="73"/>
      <c r="P202" s="44" t="str">
        <f t="shared" si="3"/>
        <v/>
      </c>
      <c r="Q202" s="44"/>
      <c r="R202" s="44"/>
      <c r="S202" s="44"/>
      <c r="T202" s="44"/>
      <c r="U202" s="44"/>
      <c r="V202" s="44"/>
      <c r="W202" s="44"/>
      <c r="X202" s="44"/>
      <c r="Y202" s="44"/>
      <c r="Z202" s="44"/>
    </row>
    <row r="203" spans="1:26" x14ac:dyDescent="0.25">
      <c r="A203" s="78"/>
      <c r="B203" s="78"/>
      <c r="C203" s="44"/>
      <c r="D203" s="44"/>
      <c r="E203" s="44"/>
      <c r="F203" s="44"/>
      <c r="G203" s="44"/>
      <c r="H203" s="44"/>
      <c r="I203" s="71"/>
      <c r="J203" s="44"/>
      <c r="K203" s="44"/>
      <c r="L203" s="44"/>
      <c r="M203" s="44"/>
      <c r="N203" s="44"/>
      <c r="O203" s="73"/>
      <c r="P203" s="44" t="str">
        <f t="shared" si="3"/>
        <v/>
      </c>
      <c r="Q203" s="44"/>
      <c r="R203" s="44"/>
      <c r="S203" s="44"/>
      <c r="T203" s="44"/>
      <c r="U203" s="44"/>
      <c r="V203" s="44"/>
      <c r="W203" s="44"/>
      <c r="X203" s="44"/>
      <c r="Y203" s="44"/>
      <c r="Z203" s="44"/>
    </row>
    <row r="204" spans="1:26" x14ac:dyDescent="0.25">
      <c r="A204" s="78"/>
      <c r="B204" s="78"/>
      <c r="C204" s="44"/>
      <c r="D204" s="44"/>
      <c r="E204" s="44"/>
      <c r="F204" s="44"/>
      <c r="G204" s="44"/>
      <c r="H204" s="44"/>
      <c r="I204" s="71"/>
      <c r="J204" s="44"/>
      <c r="K204" s="44"/>
      <c r="L204" s="44"/>
      <c r="M204" s="44"/>
      <c r="N204" s="44"/>
      <c r="O204" s="73"/>
      <c r="P204" s="44" t="str">
        <f t="shared" si="3"/>
        <v/>
      </c>
      <c r="Q204" s="44"/>
      <c r="R204" s="44"/>
      <c r="S204" s="44"/>
      <c r="T204" s="44"/>
      <c r="U204" s="44"/>
      <c r="V204" s="44"/>
      <c r="W204" s="44"/>
      <c r="X204" s="44"/>
      <c r="Y204" s="44"/>
      <c r="Z204" s="44"/>
    </row>
    <row r="205" spans="1:26" x14ac:dyDescent="0.25">
      <c r="A205" s="78"/>
      <c r="B205" s="78"/>
      <c r="C205" s="44"/>
      <c r="D205" s="44"/>
      <c r="E205" s="44"/>
      <c r="F205" s="44"/>
      <c r="G205" s="44"/>
      <c r="H205" s="44"/>
      <c r="I205" s="71"/>
      <c r="J205" s="44"/>
      <c r="K205" s="44"/>
      <c r="L205" s="44"/>
      <c r="M205" s="44"/>
      <c r="N205" s="44"/>
      <c r="O205" s="73"/>
      <c r="P205" s="44" t="str">
        <f t="shared" si="3"/>
        <v/>
      </c>
      <c r="Q205" s="44"/>
      <c r="R205" s="44"/>
      <c r="S205" s="44"/>
      <c r="T205" s="44"/>
      <c r="U205" s="44"/>
      <c r="V205" s="44"/>
      <c r="W205" s="44"/>
      <c r="X205" s="44"/>
      <c r="Y205" s="44"/>
      <c r="Z205" s="44"/>
    </row>
    <row r="206" spans="1:26" x14ac:dyDescent="0.25">
      <c r="A206" s="78"/>
      <c r="B206" s="78"/>
      <c r="C206" s="44"/>
      <c r="D206" s="44"/>
      <c r="E206" s="44"/>
      <c r="F206" s="44"/>
      <c r="G206" s="44"/>
      <c r="H206" s="44"/>
      <c r="I206" s="71"/>
      <c r="J206" s="44"/>
      <c r="K206" s="44"/>
      <c r="L206" s="44"/>
      <c r="M206" s="44"/>
      <c r="N206" s="44"/>
      <c r="O206" s="73"/>
      <c r="P206" s="44" t="str">
        <f t="shared" si="3"/>
        <v/>
      </c>
      <c r="Q206" s="44"/>
      <c r="R206" s="44"/>
      <c r="S206" s="44"/>
      <c r="T206" s="44"/>
      <c r="U206" s="44"/>
      <c r="V206" s="44"/>
      <c r="W206" s="44"/>
      <c r="X206" s="44"/>
      <c r="Y206" s="44"/>
      <c r="Z206" s="44"/>
    </row>
    <row r="207" spans="1:26" x14ac:dyDescent="0.25">
      <c r="A207" s="78"/>
      <c r="B207" s="78"/>
      <c r="C207" s="44"/>
      <c r="D207" s="44"/>
      <c r="E207" s="44"/>
      <c r="F207" s="44"/>
      <c r="G207" s="44"/>
      <c r="H207" s="44"/>
      <c r="I207" s="71"/>
      <c r="J207" s="44"/>
      <c r="K207" s="44"/>
      <c r="L207" s="44"/>
      <c r="M207" s="44"/>
      <c r="N207" s="44"/>
      <c r="O207" s="73"/>
      <c r="P207" s="44" t="str">
        <f t="shared" si="3"/>
        <v/>
      </c>
      <c r="Q207" s="44"/>
      <c r="R207" s="44"/>
      <c r="S207" s="44"/>
      <c r="T207" s="44"/>
      <c r="U207" s="44"/>
      <c r="V207" s="44"/>
      <c r="W207" s="44"/>
      <c r="X207" s="44"/>
      <c r="Y207" s="44"/>
      <c r="Z207" s="44"/>
    </row>
    <row r="208" spans="1:26" x14ac:dyDescent="0.25">
      <c r="A208" s="78"/>
      <c r="B208" s="78"/>
      <c r="C208" s="44"/>
      <c r="D208" s="44"/>
      <c r="E208" s="44"/>
      <c r="F208" s="44"/>
      <c r="G208" s="44"/>
      <c r="H208" s="44"/>
      <c r="I208" s="71"/>
      <c r="J208" s="44"/>
      <c r="K208" s="44"/>
      <c r="L208" s="44"/>
      <c r="M208" s="44"/>
      <c r="N208" s="44"/>
      <c r="O208" s="73"/>
      <c r="P208" s="44" t="str">
        <f t="shared" si="3"/>
        <v/>
      </c>
      <c r="Q208" s="44"/>
      <c r="R208" s="44"/>
      <c r="S208" s="44"/>
      <c r="T208" s="44"/>
      <c r="U208" s="44"/>
      <c r="V208" s="44"/>
      <c r="W208" s="44"/>
      <c r="X208" s="44"/>
      <c r="Y208" s="44"/>
      <c r="Z208" s="44"/>
    </row>
    <row r="209" spans="1:26" x14ac:dyDescent="0.25">
      <c r="A209" s="78"/>
      <c r="B209" s="78"/>
      <c r="C209" s="44"/>
      <c r="D209" s="44"/>
      <c r="E209" s="44"/>
      <c r="F209" s="44"/>
      <c r="G209" s="44"/>
      <c r="H209" s="44"/>
      <c r="I209" s="71"/>
      <c r="J209" s="44"/>
      <c r="K209" s="44"/>
      <c r="L209" s="44"/>
      <c r="M209" s="44"/>
      <c r="N209" s="44"/>
      <c r="O209" s="73"/>
      <c r="P209" s="44" t="str">
        <f t="shared" si="3"/>
        <v/>
      </c>
      <c r="Q209" s="44"/>
      <c r="R209" s="44"/>
      <c r="S209" s="44"/>
      <c r="T209" s="44"/>
      <c r="U209" s="44"/>
      <c r="V209" s="44"/>
      <c r="W209" s="44"/>
      <c r="X209" s="44"/>
      <c r="Y209" s="44"/>
      <c r="Z209" s="44"/>
    </row>
    <row r="210" spans="1:26" x14ac:dyDescent="0.25">
      <c r="A210" s="78"/>
      <c r="B210" s="78"/>
      <c r="C210" s="44"/>
      <c r="D210" s="44"/>
      <c r="E210" s="44"/>
      <c r="F210" s="44"/>
      <c r="G210" s="44"/>
      <c r="H210" s="44"/>
      <c r="I210" s="71"/>
      <c r="J210" s="44"/>
      <c r="K210" s="44"/>
      <c r="L210" s="44"/>
      <c r="M210" s="44"/>
      <c r="N210" s="44"/>
      <c r="O210" s="73"/>
      <c r="P210" s="44" t="str">
        <f t="shared" si="3"/>
        <v/>
      </c>
      <c r="Q210" s="44"/>
      <c r="R210" s="44"/>
      <c r="S210" s="44"/>
      <c r="T210" s="44"/>
      <c r="U210" s="44"/>
      <c r="V210" s="44"/>
      <c r="W210" s="44"/>
      <c r="X210" s="44"/>
      <c r="Y210" s="44"/>
      <c r="Z210" s="44"/>
    </row>
    <row r="211" spans="1:26" x14ac:dyDescent="0.25">
      <c r="A211" s="78"/>
      <c r="B211" s="78"/>
      <c r="C211" s="44"/>
      <c r="D211" s="44"/>
      <c r="E211" s="44"/>
      <c r="F211" s="44"/>
      <c r="G211" s="44"/>
      <c r="H211" s="44"/>
      <c r="I211" s="71"/>
      <c r="J211" s="44"/>
      <c r="K211" s="44"/>
      <c r="L211" s="44"/>
      <c r="M211" s="44"/>
      <c r="N211" s="44"/>
      <c r="O211" s="73"/>
      <c r="P211" s="44" t="str">
        <f t="shared" si="3"/>
        <v/>
      </c>
      <c r="Q211" s="44"/>
      <c r="R211" s="44"/>
      <c r="S211" s="44"/>
      <c r="T211" s="44"/>
      <c r="U211" s="44"/>
      <c r="V211" s="44"/>
      <c r="W211" s="44"/>
      <c r="X211" s="44"/>
      <c r="Y211" s="44"/>
      <c r="Z211" s="44"/>
    </row>
    <row r="212" spans="1:26" x14ac:dyDescent="0.25">
      <c r="A212" s="78"/>
      <c r="B212" s="78"/>
      <c r="C212" s="44"/>
      <c r="D212" s="44"/>
      <c r="E212" s="44"/>
      <c r="F212" s="44"/>
      <c r="G212" s="44"/>
      <c r="H212" s="44"/>
      <c r="I212" s="71"/>
      <c r="J212" s="44"/>
      <c r="K212" s="44"/>
      <c r="L212" s="44"/>
      <c r="M212" s="44"/>
      <c r="N212" s="44"/>
      <c r="O212" s="73"/>
      <c r="P212" s="44" t="str">
        <f t="shared" si="3"/>
        <v/>
      </c>
      <c r="Q212" s="44"/>
      <c r="R212" s="44"/>
      <c r="S212" s="44"/>
      <c r="T212" s="44"/>
      <c r="U212" s="44"/>
      <c r="V212" s="44"/>
      <c r="W212" s="44"/>
      <c r="X212" s="44"/>
      <c r="Y212" s="44"/>
      <c r="Z212" s="44"/>
    </row>
    <row r="213" spans="1:26" x14ac:dyDescent="0.25">
      <c r="A213" s="78"/>
      <c r="B213" s="78"/>
      <c r="C213" s="44"/>
      <c r="D213" s="44"/>
      <c r="E213" s="44"/>
      <c r="F213" s="44"/>
      <c r="G213" s="44"/>
      <c r="H213" s="44"/>
      <c r="I213" s="71"/>
      <c r="J213" s="44"/>
      <c r="K213" s="44"/>
      <c r="L213" s="44"/>
      <c r="M213" s="44"/>
      <c r="N213" s="44"/>
      <c r="O213" s="73"/>
      <c r="P213" s="44" t="str">
        <f t="shared" si="3"/>
        <v/>
      </c>
      <c r="Q213" s="44"/>
      <c r="R213" s="44"/>
      <c r="S213" s="44"/>
      <c r="T213" s="44"/>
      <c r="U213" s="44"/>
      <c r="V213" s="44"/>
      <c r="W213" s="44"/>
      <c r="X213" s="44"/>
      <c r="Y213" s="44"/>
      <c r="Z213" s="44"/>
    </row>
    <row r="214" spans="1:26" x14ac:dyDescent="0.25">
      <c r="A214" s="78"/>
      <c r="B214" s="78"/>
      <c r="C214" s="44"/>
      <c r="D214" s="44"/>
      <c r="E214" s="44"/>
      <c r="F214" s="44"/>
      <c r="G214" s="44"/>
      <c r="H214" s="44"/>
      <c r="I214" s="71"/>
      <c r="J214" s="44"/>
      <c r="K214" s="44"/>
      <c r="L214" s="44"/>
      <c r="M214" s="44"/>
      <c r="N214" s="44"/>
      <c r="O214" s="73"/>
      <c r="P214" s="44" t="str">
        <f t="shared" si="3"/>
        <v/>
      </c>
      <c r="Q214" s="44"/>
      <c r="R214" s="44"/>
      <c r="S214" s="44"/>
      <c r="T214" s="44"/>
      <c r="U214" s="44"/>
      <c r="V214" s="44"/>
      <c r="W214" s="44"/>
      <c r="X214" s="44"/>
      <c r="Y214" s="44"/>
      <c r="Z214" s="44"/>
    </row>
    <row r="215" spans="1:26" x14ac:dyDescent="0.25">
      <c r="A215" s="78"/>
      <c r="B215" s="78"/>
      <c r="C215" s="44"/>
      <c r="D215" s="44"/>
      <c r="E215" s="44"/>
      <c r="F215" s="44"/>
      <c r="G215" s="44"/>
      <c r="H215" s="44"/>
      <c r="I215" s="71"/>
      <c r="J215" s="44"/>
      <c r="K215" s="44"/>
      <c r="L215" s="44"/>
      <c r="M215" s="44"/>
      <c r="N215" s="44"/>
      <c r="O215" s="73"/>
      <c r="P215" s="44" t="str">
        <f t="shared" si="3"/>
        <v/>
      </c>
      <c r="Q215" s="44"/>
      <c r="R215" s="44"/>
      <c r="S215" s="44"/>
      <c r="T215" s="44"/>
      <c r="U215" s="44"/>
      <c r="V215" s="44"/>
      <c r="W215" s="44"/>
      <c r="X215" s="44"/>
      <c r="Y215" s="44"/>
      <c r="Z215" s="44"/>
    </row>
    <row r="216" spans="1:26" x14ac:dyDescent="0.25">
      <c r="A216" s="78"/>
      <c r="B216" s="78"/>
      <c r="C216" s="44"/>
      <c r="D216" s="44"/>
      <c r="E216" s="44"/>
      <c r="F216" s="44"/>
      <c r="G216" s="44"/>
      <c r="H216" s="44"/>
      <c r="I216" s="71"/>
      <c r="J216" s="44"/>
      <c r="K216" s="44"/>
      <c r="L216" s="44"/>
      <c r="M216" s="44"/>
      <c r="N216" s="44"/>
      <c r="O216" s="73"/>
      <c r="P216" s="44" t="str">
        <f t="shared" si="3"/>
        <v/>
      </c>
      <c r="Q216" s="44"/>
      <c r="R216" s="44"/>
      <c r="S216" s="44"/>
      <c r="T216" s="44"/>
      <c r="U216" s="44"/>
      <c r="V216" s="44"/>
      <c r="W216" s="44"/>
      <c r="X216" s="44"/>
      <c r="Y216" s="44"/>
      <c r="Z216" s="44"/>
    </row>
    <row r="217" spans="1:26" x14ac:dyDescent="0.25">
      <c r="A217" s="78"/>
      <c r="B217" s="78"/>
      <c r="C217" s="44"/>
      <c r="D217" s="44"/>
      <c r="E217" s="44"/>
      <c r="F217" s="44"/>
      <c r="G217" s="44"/>
      <c r="H217" s="44"/>
      <c r="I217" s="71"/>
      <c r="J217" s="44"/>
      <c r="K217" s="44"/>
      <c r="L217" s="44"/>
      <c r="M217" s="44"/>
      <c r="N217" s="44"/>
      <c r="O217" s="73"/>
      <c r="P217" s="44" t="str">
        <f t="shared" si="3"/>
        <v/>
      </c>
      <c r="Q217" s="44"/>
      <c r="R217" s="44"/>
      <c r="S217" s="44"/>
      <c r="T217" s="44"/>
      <c r="U217" s="44"/>
      <c r="V217" s="44"/>
      <c r="W217" s="44"/>
      <c r="X217" s="44"/>
      <c r="Y217" s="44"/>
      <c r="Z217" s="44"/>
    </row>
    <row r="218" spans="1:26" x14ac:dyDescent="0.25">
      <c r="A218" s="78"/>
      <c r="B218" s="78"/>
      <c r="C218" s="44"/>
      <c r="D218" s="44"/>
      <c r="E218" s="44"/>
      <c r="F218" s="44"/>
      <c r="G218" s="44"/>
      <c r="H218" s="44"/>
      <c r="I218" s="71"/>
      <c r="J218" s="44"/>
      <c r="K218" s="44"/>
      <c r="L218" s="44"/>
      <c r="M218" s="44"/>
      <c r="N218" s="44"/>
      <c r="O218" s="73"/>
      <c r="P218" s="44" t="str">
        <f t="shared" si="3"/>
        <v/>
      </c>
      <c r="Q218" s="44"/>
      <c r="R218" s="44"/>
      <c r="S218" s="44"/>
      <c r="T218" s="44"/>
      <c r="U218" s="44"/>
      <c r="V218" s="44"/>
      <c r="W218" s="44"/>
      <c r="X218" s="44"/>
      <c r="Y218" s="44"/>
      <c r="Z218" s="44"/>
    </row>
    <row r="219" spans="1:26" x14ac:dyDescent="0.25">
      <c r="A219" s="78"/>
      <c r="B219" s="78"/>
      <c r="C219" s="44"/>
      <c r="D219" s="44"/>
      <c r="E219" s="44"/>
      <c r="F219" s="44"/>
      <c r="G219" s="44"/>
      <c r="H219" s="44"/>
      <c r="I219" s="71"/>
      <c r="J219" s="44"/>
      <c r="K219" s="44"/>
      <c r="L219" s="44"/>
      <c r="M219" s="44"/>
      <c r="N219" s="44"/>
      <c r="O219" s="73"/>
      <c r="P219" s="44" t="str">
        <f t="shared" si="3"/>
        <v/>
      </c>
      <c r="Q219" s="44"/>
      <c r="R219" s="44"/>
      <c r="S219" s="44"/>
      <c r="T219" s="44"/>
      <c r="U219" s="44"/>
      <c r="V219" s="44"/>
      <c r="W219" s="44"/>
      <c r="X219" s="44"/>
      <c r="Y219" s="44"/>
      <c r="Z219" s="44"/>
    </row>
    <row r="220" spans="1:26" x14ac:dyDescent="0.25">
      <c r="A220" s="78"/>
      <c r="B220" s="78"/>
      <c r="C220" s="44"/>
      <c r="D220" s="44"/>
      <c r="E220" s="44"/>
      <c r="F220" s="44"/>
      <c r="G220" s="44"/>
      <c r="H220" s="44"/>
      <c r="I220" s="71"/>
      <c r="J220" s="44"/>
      <c r="K220" s="44"/>
      <c r="L220" s="44"/>
      <c r="M220" s="44"/>
      <c r="N220" s="44"/>
      <c r="O220" s="73"/>
      <c r="P220" s="44" t="str">
        <f t="shared" si="3"/>
        <v/>
      </c>
      <c r="Q220" s="44"/>
      <c r="R220" s="44"/>
      <c r="S220" s="44"/>
      <c r="T220" s="44"/>
      <c r="U220" s="44"/>
      <c r="V220" s="44"/>
      <c r="W220" s="44"/>
      <c r="X220" s="44"/>
      <c r="Y220" s="44"/>
      <c r="Z220" s="44"/>
    </row>
    <row r="221" spans="1:26" x14ac:dyDescent="0.25">
      <c r="A221" s="78"/>
      <c r="B221" s="78"/>
      <c r="C221" s="44"/>
      <c r="D221" s="44"/>
      <c r="E221" s="44"/>
      <c r="F221" s="44"/>
      <c r="G221" s="44"/>
      <c r="H221" s="44"/>
      <c r="I221" s="71"/>
      <c r="J221" s="44"/>
      <c r="K221" s="44"/>
      <c r="L221" s="44"/>
      <c r="M221" s="44"/>
      <c r="N221" s="44"/>
      <c r="O221" s="73"/>
      <c r="P221" s="44" t="str">
        <f t="shared" si="3"/>
        <v/>
      </c>
      <c r="Q221" s="44"/>
      <c r="R221" s="44"/>
      <c r="S221" s="44"/>
      <c r="T221" s="44"/>
      <c r="U221" s="44"/>
      <c r="V221" s="44"/>
      <c r="W221" s="44"/>
      <c r="X221" s="44"/>
      <c r="Y221" s="44"/>
      <c r="Z221" s="44"/>
    </row>
    <row r="222" spans="1:26" x14ac:dyDescent="0.25">
      <c r="A222" s="78"/>
      <c r="B222" s="78"/>
      <c r="C222" s="44"/>
      <c r="D222" s="44"/>
      <c r="E222" s="44"/>
      <c r="F222" s="44"/>
      <c r="G222" s="44"/>
      <c r="H222" s="44"/>
      <c r="I222" s="71"/>
      <c r="J222" s="44"/>
      <c r="K222" s="44"/>
      <c r="L222" s="44"/>
      <c r="M222" s="44"/>
      <c r="N222" s="44"/>
      <c r="O222" s="73"/>
      <c r="P222" s="44" t="str">
        <f t="shared" si="3"/>
        <v/>
      </c>
      <c r="Q222" s="44"/>
      <c r="R222" s="44"/>
      <c r="S222" s="44"/>
      <c r="T222" s="44"/>
      <c r="U222" s="44"/>
      <c r="V222" s="44"/>
      <c r="W222" s="44"/>
      <c r="X222" s="44"/>
      <c r="Y222" s="44"/>
      <c r="Z222" s="44"/>
    </row>
    <row r="223" spans="1:26" x14ac:dyDescent="0.25">
      <c r="A223" s="78"/>
      <c r="B223" s="78"/>
      <c r="C223" s="44"/>
      <c r="D223" s="44"/>
      <c r="E223" s="44"/>
      <c r="F223" s="44"/>
      <c r="G223" s="44"/>
      <c r="H223" s="44"/>
      <c r="I223" s="71"/>
      <c r="J223" s="44"/>
      <c r="K223" s="44"/>
      <c r="L223" s="44"/>
      <c r="M223" s="44"/>
      <c r="N223" s="44"/>
      <c r="O223" s="73"/>
      <c r="P223" s="44" t="str">
        <f t="shared" si="3"/>
        <v/>
      </c>
      <c r="Q223" s="44"/>
      <c r="R223" s="44"/>
      <c r="S223" s="44"/>
      <c r="T223" s="44"/>
      <c r="U223" s="44"/>
      <c r="V223" s="44"/>
      <c r="W223" s="44"/>
      <c r="X223" s="44"/>
      <c r="Y223" s="44"/>
      <c r="Z223" s="44"/>
    </row>
    <row r="224" spans="1:26" x14ac:dyDescent="0.25">
      <c r="A224" s="78"/>
      <c r="B224" s="78"/>
      <c r="C224" s="44"/>
      <c r="D224" s="44"/>
      <c r="E224" s="44"/>
      <c r="F224" s="44"/>
      <c r="G224" s="44"/>
      <c r="H224" s="44"/>
      <c r="I224" s="71"/>
      <c r="J224" s="44"/>
      <c r="K224" s="44"/>
      <c r="L224" s="44"/>
      <c r="M224" s="44"/>
      <c r="N224" s="44"/>
      <c r="O224" s="73"/>
      <c r="P224" s="44" t="str">
        <f t="shared" si="3"/>
        <v/>
      </c>
      <c r="Q224" s="44"/>
      <c r="R224" s="44"/>
      <c r="S224" s="44"/>
      <c r="T224" s="44"/>
      <c r="U224" s="44"/>
      <c r="V224" s="44"/>
      <c r="W224" s="44"/>
      <c r="X224" s="44"/>
      <c r="Y224" s="44"/>
      <c r="Z224" s="44"/>
    </row>
    <row r="225" spans="1:26" x14ac:dyDescent="0.25">
      <c r="A225" s="78"/>
      <c r="B225" s="78"/>
      <c r="C225" s="44"/>
      <c r="D225" s="44"/>
      <c r="E225" s="44"/>
      <c r="F225" s="44"/>
      <c r="G225" s="44"/>
      <c r="H225" s="44"/>
      <c r="I225" s="71"/>
      <c r="J225" s="44"/>
      <c r="K225" s="44"/>
      <c r="L225" s="44"/>
      <c r="M225" s="44"/>
      <c r="N225" s="44"/>
      <c r="O225" s="73"/>
      <c r="P225" s="44" t="str">
        <f t="shared" si="3"/>
        <v/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</row>
    <row r="226" spans="1:26" x14ac:dyDescent="0.25">
      <c r="A226" s="78"/>
      <c r="B226" s="78"/>
      <c r="C226" s="44"/>
      <c r="D226" s="44"/>
      <c r="E226" s="44"/>
      <c r="F226" s="44"/>
      <c r="G226" s="44"/>
      <c r="H226" s="44"/>
      <c r="I226" s="71"/>
      <c r="J226" s="44"/>
      <c r="K226" s="44"/>
      <c r="L226" s="44"/>
      <c r="M226" s="44"/>
      <c r="N226" s="44"/>
      <c r="O226" s="73"/>
      <c r="P226" s="44" t="str">
        <f t="shared" si="3"/>
        <v/>
      </c>
      <c r="Q226" s="44"/>
      <c r="R226" s="44"/>
      <c r="S226" s="44"/>
      <c r="T226" s="44"/>
      <c r="U226" s="44"/>
      <c r="V226" s="44"/>
      <c r="W226" s="44"/>
      <c r="X226" s="44"/>
      <c r="Y226" s="44"/>
      <c r="Z226" s="44"/>
    </row>
    <row r="227" spans="1:26" x14ac:dyDescent="0.25">
      <c r="A227" s="78"/>
      <c r="B227" s="78"/>
      <c r="C227" s="44"/>
      <c r="D227" s="44"/>
      <c r="E227" s="44"/>
      <c r="F227" s="44"/>
      <c r="G227" s="44"/>
      <c r="H227" s="44"/>
      <c r="I227" s="71"/>
      <c r="J227" s="44"/>
      <c r="K227" s="44"/>
      <c r="L227" s="44"/>
      <c r="M227" s="44"/>
      <c r="N227" s="44"/>
      <c r="O227" s="73"/>
      <c r="P227" s="44" t="str">
        <f t="shared" si="3"/>
        <v/>
      </c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x14ac:dyDescent="0.25">
      <c r="A228" s="78"/>
      <c r="B228" s="78"/>
      <c r="C228" s="44"/>
      <c r="D228" s="44"/>
      <c r="E228" s="44"/>
      <c r="F228" s="44"/>
      <c r="G228" s="44"/>
      <c r="H228" s="44"/>
      <c r="I228" s="71"/>
      <c r="J228" s="44"/>
      <c r="K228" s="44"/>
      <c r="L228" s="44"/>
      <c r="M228" s="44"/>
      <c r="N228" s="44"/>
      <c r="O228" s="73"/>
      <c r="P228" s="44" t="str">
        <f t="shared" si="3"/>
        <v/>
      </c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x14ac:dyDescent="0.25">
      <c r="A229" s="78"/>
      <c r="B229" s="78"/>
      <c r="C229" s="44"/>
      <c r="D229" s="44"/>
      <c r="E229" s="44"/>
      <c r="F229" s="44"/>
      <c r="G229" s="44"/>
      <c r="H229" s="44"/>
      <c r="I229" s="71"/>
      <c r="J229" s="44"/>
      <c r="K229" s="44"/>
      <c r="L229" s="44"/>
      <c r="M229" s="44"/>
      <c r="N229" s="44"/>
      <c r="O229" s="73"/>
      <c r="P229" s="44" t="str">
        <f t="shared" si="3"/>
        <v/>
      </c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x14ac:dyDescent="0.25">
      <c r="A230" s="78"/>
      <c r="B230" s="78"/>
      <c r="C230" s="44"/>
      <c r="D230" s="44"/>
      <c r="E230" s="44"/>
      <c r="F230" s="44"/>
      <c r="G230" s="44"/>
      <c r="H230" s="44"/>
      <c r="I230" s="71"/>
      <c r="J230" s="44"/>
      <c r="K230" s="44"/>
      <c r="L230" s="44"/>
      <c r="M230" s="44"/>
      <c r="N230" s="44"/>
      <c r="O230" s="73"/>
      <c r="P230" s="44" t="str">
        <f t="shared" si="3"/>
        <v/>
      </c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x14ac:dyDescent="0.25">
      <c r="A231" s="78"/>
      <c r="B231" s="78"/>
      <c r="C231" s="44"/>
      <c r="D231" s="44"/>
      <c r="E231" s="44"/>
      <c r="F231" s="44"/>
      <c r="G231" s="44"/>
      <c r="H231" s="44"/>
      <c r="I231" s="71"/>
      <c r="J231" s="44"/>
      <c r="K231" s="44"/>
      <c r="L231" s="44"/>
      <c r="M231" s="44"/>
      <c r="N231" s="44"/>
      <c r="O231" s="73"/>
      <c r="P231" s="44" t="str">
        <f t="shared" si="3"/>
        <v/>
      </c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x14ac:dyDescent="0.25">
      <c r="A232" s="78"/>
      <c r="B232" s="78"/>
      <c r="C232" s="44"/>
      <c r="D232" s="44"/>
      <c r="E232" s="44"/>
      <c r="F232" s="44"/>
      <c r="G232" s="44"/>
      <c r="H232" s="44"/>
      <c r="I232" s="71"/>
      <c r="J232" s="44"/>
      <c r="K232" s="44"/>
      <c r="L232" s="44"/>
      <c r="M232" s="44"/>
      <c r="N232" s="44"/>
      <c r="O232" s="73"/>
      <c r="P232" s="44" t="str">
        <f t="shared" si="3"/>
        <v/>
      </c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x14ac:dyDescent="0.25">
      <c r="A233" s="78"/>
      <c r="B233" s="78"/>
      <c r="C233" s="44"/>
      <c r="D233" s="44"/>
      <c r="E233" s="44"/>
      <c r="F233" s="44"/>
      <c r="G233" s="44"/>
      <c r="H233" s="44"/>
      <c r="I233" s="71"/>
      <c r="J233" s="44"/>
      <c r="K233" s="44"/>
      <c r="L233" s="44"/>
      <c r="M233" s="44"/>
      <c r="N233" s="44"/>
      <c r="O233" s="73"/>
      <c r="P233" s="44" t="str">
        <f t="shared" si="3"/>
        <v/>
      </c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x14ac:dyDescent="0.25">
      <c r="A234" s="78"/>
      <c r="B234" s="78"/>
      <c r="C234" s="44"/>
      <c r="D234" s="44"/>
      <c r="E234" s="44"/>
      <c r="F234" s="44"/>
      <c r="G234" s="44"/>
      <c r="H234" s="44"/>
      <c r="I234" s="71"/>
      <c r="J234" s="44"/>
      <c r="K234" s="44"/>
      <c r="L234" s="44"/>
      <c r="M234" s="44"/>
      <c r="N234" s="44"/>
      <c r="O234" s="73"/>
      <c r="P234" s="44" t="str">
        <f t="shared" si="3"/>
        <v/>
      </c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x14ac:dyDescent="0.25">
      <c r="A235" s="78"/>
      <c r="B235" s="78"/>
      <c r="C235" s="44"/>
      <c r="D235" s="44"/>
      <c r="E235" s="44"/>
      <c r="F235" s="44"/>
      <c r="G235" s="44"/>
      <c r="H235" s="44"/>
      <c r="I235" s="71"/>
      <c r="J235" s="44"/>
      <c r="K235" s="44"/>
      <c r="L235" s="44"/>
      <c r="M235" s="44"/>
      <c r="N235" s="44"/>
      <c r="O235" s="73"/>
      <c r="P235" s="44" t="str">
        <f t="shared" si="3"/>
        <v/>
      </c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x14ac:dyDescent="0.25">
      <c r="A236" s="78"/>
      <c r="B236" s="78"/>
      <c r="C236" s="44"/>
      <c r="D236" s="44"/>
      <c r="E236" s="44"/>
      <c r="F236" s="44"/>
      <c r="G236" s="44"/>
      <c r="H236" s="44"/>
      <c r="I236" s="71"/>
      <c r="J236" s="44"/>
      <c r="K236" s="44"/>
      <c r="L236" s="44"/>
      <c r="M236" s="44"/>
      <c r="N236" s="44"/>
      <c r="O236" s="73"/>
      <c r="P236" s="44" t="str">
        <f t="shared" si="3"/>
        <v/>
      </c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x14ac:dyDescent="0.25">
      <c r="A237" s="78"/>
      <c r="B237" s="78"/>
      <c r="C237" s="44"/>
      <c r="D237" s="44"/>
      <c r="E237" s="44"/>
      <c r="F237" s="44"/>
      <c r="G237" s="44"/>
      <c r="H237" s="44"/>
      <c r="I237" s="71"/>
      <c r="J237" s="44"/>
      <c r="K237" s="44"/>
      <c r="L237" s="44"/>
      <c r="M237" s="44"/>
      <c r="N237" s="44"/>
      <c r="O237" s="73"/>
      <c r="P237" s="44" t="str">
        <f t="shared" si="3"/>
        <v/>
      </c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x14ac:dyDescent="0.25">
      <c r="A238" s="78"/>
      <c r="B238" s="78"/>
      <c r="C238" s="44"/>
      <c r="D238" s="44"/>
      <c r="E238" s="44"/>
      <c r="F238" s="44"/>
      <c r="G238" s="44"/>
      <c r="H238" s="44"/>
      <c r="I238" s="71"/>
      <c r="J238" s="44"/>
      <c r="K238" s="44"/>
      <c r="L238" s="44"/>
      <c r="M238" s="44"/>
      <c r="N238" s="44"/>
      <c r="O238" s="73"/>
      <c r="P238" s="44" t="str">
        <f t="shared" si="3"/>
        <v/>
      </c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x14ac:dyDescent="0.25">
      <c r="A239" s="78"/>
      <c r="B239" s="78"/>
      <c r="C239" s="44"/>
      <c r="D239" s="44"/>
      <c r="E239" s="44"/>
      <c r="F239" s="44"/>
      <c r="G239" s="44"/>
      <c r="H239" s="44"/>
      <c r="I239" s="71"/>
      <c r="J239" s="44"/>
      <c r="K239" s="44"/>
      <c r="L239" s="44"/>
      <c r="M239" s="44"/>
      <c r="N239" s="44"/>
      <c r="O239" s="73"/>
      <c r="P239" s="44" t="str">
        <f t="shared" si="3"/>
        <v/>
      </c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x14ac:dyDescent="0.25">
      <c r="A240" s="78"/>
      <c r="B240" s="78"/>
      <c r="C240" s="44"/>
      <c r="D240" s="44"/>
      <c r="E240" s="44"/>
      <c r="F240" s="44"/>
      <c r="G240" s="44"/>
      <c r="H240" s="44"/>
      <c r="I240" s="71"/>
      <c r="J240" s="44"/>
      <c r="K240" s="44"/>
      <c r="L240" s="44"/>
      <c r="M240" s="44"/>
      <c r="N240" s="44"/>
      <c r="O240" s="73"/>
      <c r="P240" s="44" t="str">
        <f t="shared" si="3"/>
        <v/>
      </c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x14ac:dyDescent="0.25">
      <c r="A241" s="78"/>
      <c r="B241" s="78"/>
      <c r="C241" s="44"/>
      <c r="D241" s="44"/>
      <c r="E241" s="44"/>
      <c r="F241" s="44"/>
      <c r="G241" s="44"/>
      <c r="H241" s="44"/>
      <c r="I241" s="71"/>
      <c r="J241" s="44"/>
      <c r="K241" s="44"/>
      <c r="L241" s="44"/>
      <c r="M241" s="44"/>
      <c r="N241" s="44"/>
      <c r="O241" s="73"/>
      <c r="P241" s="44" t="str">
        <f t="shared" si="3"/>
        <v/>
      </c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x14ac:dyDescent="0.25">
      <c r="A242" s="78"/>
      <c r="B242" s="78"/>
      <c r="C242" s="44"/>
      <c r="D242" s="44"/>
      <c r="E242" s="44"/>
      <c r="F242" s="44"/>
      <c r="G242" s="44"/>
      <c r="H242" s="44"/>
      <c r="I242" s="71"/>
      <c r="J242" s="44"/>
      <c r="K242" s="44"/>
      <c r="L242" s="44"/>
      <c r="M242" s="44"/>
      <c r="N242" s="44"/>
      <c r="O242" s="73"/>
      <c r="P242" s="44" t="str">
        <f t="shared" si="3"/>
        <v/>
      </c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x14ac:dyDescent="0.25">
      <c r="A243" s="78"/>
      <c r="B243" s="78"/>
      <c r="C243" s="44"/>
      <c r="D243" s="44"/>
      <c r="E243" s="44"/>
      <c r="F243" s="44"/>
      <c r="G243" s="44"/>
      <c r="H243" s="44"/>
      <c r="I243" s="71"/>
      <c r="J243" s="44"/>
      <c r="K243" s="44"/>
      <c r="L243" s="44"/>
      <c r="M243" s="44"/>
      <c r="N243" s="44"/>
      <c r="O243" s="73"/>
      <c r="P243" s="44" t="str">
        <f t="shared" si="3"/>
        <v/>
      </c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x14ac:dyDescent="0.25">
      <c r="A244" s="78"/>
      <c r="B244" s="78"/>
      <c r="C244" s="44"/>
      <c r="D244" s="44"/>
      <c r="E244" s="44"/>
      <c r="F244" s="44"/>
      <c r="G244" s="44"/>
      <c r="H244" s="44"/>
      <c r="I244" s="71"/>
      <c r="J244" s="44"/>
      <c r="K244" s="44"/>
      <c r="L244" s="44"/>
      <c r="M244" s="44"/>
      <c r="N244" s="44"/>
      <c r="O244" s="73"/>
      <c r="P244" s="44" t="str">
        <f t="shared" si="3"/>
        <v/>
      </c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x14ac:dyDescent="0.25">
      <c r="A245" s="78"/>
      <c r="B245" s="78"/>
      <c r="C245" s="44"/>
      <c r="D245" s="44"/>
      <c r="E245" s="44"/>
      <c r="F245" s="44"/>
      <c r="G245" s="44"/>
      <c r="H245" s="44"/>
      <c r="I245" s="71"/>
      <c r="J245" s="44"/>
      <c r="K245" s="44"/>
      <c r="L245" s="44"/>
      <c r="M245" s="44"/>
      <c r="N245" s="44"/>
      <c r="O245" s="73"/>
      <c r="P245" s="44" t="str">
        <f t="shared" si="3"/>
        <v/>
      </c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x14ac:dyDescent="0.25">
      <c r="A246" s="78"/>
      <c r="B246" s="78"/>
      <c r="C246" s="44"/>
      <c r="D246" s="44"/>
      <c r="E246" s="44"/>
      <c r="F246" s="44"/>
      <c r="G246" s="44"/>
      <c r="H246" s="44"/>
      <c r="I246" s="71"/>
      <c r="J246" s="44"/>
      <c r="K246" s="44"/>
      <c r="L246" s="44"/>
      <c r="M246" s="44"/>
      <c r="N246" s="44"/>
      <c r="O246" s="73"/>
      <c r="P246" s="44" t="str">
        <f t="shared" si="3"/>
        <v/>
      </c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x14ac:dyDescent="0.25">
      <c r="A247" s="78"/>
      <c r="B247" s="78"/>
      <c r="C247" s="44"/>
      <c r="D247" s="44"/>
      <c r="E247" s="44"/>
      <c r="F247" s="44"/>
      <c r="G247" s="44"/>
      <c r="H247" s="44"/>
      <c r="I247" s="71"/>
      <c r="J247" s="44"/>
      <c r="K247" s="44"/>
      <c r="L247" s="44"/>
      <c r="M247" s="44"/>
      <c r="N247" s="44"/>
      <c r="O247" s="73"/>
      <c r="P247" s="44" t="str">
        <f t="shared" si="3"/>
        <v/>
      </c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x14ac:dyDescent="0.25">
      <c r="A248" s="78"/>
      <c r="B248" s="78"/>
      <c r="C248" s="44"/>
      <c r="D248" s="44"/>
      <c r="E248" s="44"/>
      <c r="F248" s="44"/>
      <c r="G248" s="44"/>
      <c r="H248" s="44"/>
      <c r="I248" s="71"/>
      <c r="J248" s="44"/>
      <c r="K248" s="44"/>
      <c r="L248" s="44"/>
      <c r="M248" s="44"/>
      <c r="N248" s="44"/>
      <c r="O248" s="73"/>
      <c r="P248" s="44" t="str">
        <f t="shared" si="3"/>
        <v/>
      </c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x14ac:dyDescent="0.25">
      <c r="A249" s="78"/>
      <c r="B249" s="78"/>
      <c r="C249" s="44"/>
      <c r="D249" s="44"/>
      <c r="E249" s="44"/>
      <c r="F249" s="44"/>
      <c r="G249" s="44"/>
      <c r="H249" s="44"/>
      <c r="I249" s="71"/>
      <c r="J249" s="44"/>
      <c r="K249" s="44"/>
      <c r="L249" s="44"/>
      <c r="M249" s="44"/>
      <c r="N249" s="44"/>
      <c r="O249" s="73"/>
      <c r="P249" s="44" t="str">
        <f t="shared" si="3"/>
        <v/>
      </c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x14ac:dyDescent="0.25">
      <c r="A250" s="78"/>
      <c r="B250" s="78"/>
      <c r="C250" s="44"/>
      <c r="D250" s="44"/>
      <c r="E250" s="44"/>
      <c r="F250" s="44"/>
      <c r="G250" s="44"/>
      <c r="H250" s="44"/>
      <c r="I250" s="71"/>
      <c r="J250" s="44"/>
      <c r="K250" s="44"/>
      <c r="L250" s="44"/>
      <c r="M250" s="44"/>
      <c r="N250" s="44"/>
      <c r="O250" s="73"/>
      <c r="P250" s="44" t="str">
        <f t="shared" si="3"/>
        <v/>
      </c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x14ac:dyDescent="0.25">
      <c r="A251" s="78"/>
      <c r="B251" s="78"/>
      <c r="C251" s="44"/>
      <c r="D251" s="44"/>
      <c r="E251" s="44"/>
      <c r="F251" s="44"/>
      <c r="G251" s="44"/>
      <c r="H251" s="44"/>
      <c r="I251" s="71"/>
      <c r="J251" s="44"/>
      <c r="K251" s="44"/>
      <c r="L251" s="44"/>
      <c r="M251" s="44"/>
      <c r="N251" s="44"/>
      <c r="O251" s="73"/>
      <c r="P251" s="44" t="str">
        <f t="shared" si="3"/>
        <v/>
      </c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x14ac:dyDescent="0.25">
      <c r="A252" s="78"/>
      <c r="B252" s="78"/>
      <c r="C252" s="44"/>
      <c r="D252" s="44"/>
      <c r="E252" s="44"/>
      <c r="F252" s="44"/>
      <c r="G252" s="44"/>
      <c r="H252" s="44"/>
      <c r="I252" s="71"/>
      <c r="J252" s="44"/>
      <c r="K252" s="44"/>
      <c r="L252" s="44"/>
      <c r="M252" s="44"/>
      <c r="N252" s="44"/>
      <c r="O252" s="73"/>
      <c r="P252" s="44" t="str">
        <f t="shared" si="3"/>
        <v/>
      </c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x14ac:dyDescent="0.25">
      <c r="A253" s="78"/>
      <c r="B253" s="78"/>
      <c r="C253" s="44"/>
      <c r="D253" s="44"/>
      <c r="E253" s="44"/>
      <c r="F253" s="44"/>
      <c r="G253" s="44"/>
      <c r="H253" s="44"/>
      <c r="I253" s="71"/>
      <c r="J253" s="44"/>
      <c r="K253" s="44"/>
      <c r="L253" s="44"/>
      <c r="M253" s="44"/>
      <c r="N253" s="44"/>
      <c r="O253" s="73"/>
      <c r="P253" s="44" t="str">
        <f t="shared" si="3"/>
        <v/>
      </c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x14ac:dyDescent="0.25">
      <c r="A254" s="78"/>
      <c r="B254" s="78"/>
      <c r="C254" s="44"/>
      <c r="D254" s="44"/>
      <c r="E254" s="44"/>
      <c r="F254" s="44"/>
      <c r="G254" s="44"/>
      <c r="H254" s="44"/>
      <c r="I254" s="71"/>
      <c r="J254" s="44"/>
      <c r="K254" s="44"/>
      <c r="L254" s="44"/>
      <c r="M254" s="44"/>
      <c r="N254" s="44"/>
      <c r="O254" s="73"/>
      <c r="P254" s="44" t="str">
        <f t="shared" si="3"/>
        <v/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x14ac:dyDescent="0.25">
      <c r="A255" s="78"/>
      <c r="B255" s="78"/>
      <c r="C255" s="44"/>
      <c r="D255" s="44"/>
      <c r="E255" s="44"/>
      <c r="F255" s="44"/>
      <c r="G255" s="44"/>
      <c r="H255" s="44"/>
      <c r="I255" s="71"/>
      <c r="J255" s="44"/>
      <c r="K255" s="44"/>
      <c r="L255" s="44"/>
      <c r="M255" s="44"/>
      <c r="N255" s="44"/>
      <c r="O255" s="73"/>
      <c r="P255" s="44" t="str">
        <f t="shared" si="3"/>
        <v/>
      </c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x14ac:dyDescent="0.25">
      <c r="A256" s="78"/>
      <c r="B256" s="78"/>
      <c r="C256" s="44"/>
      <c r="D256" s="44"/>
      <c r="E256" s="44"/>
      <c r="F256" s="44"/>
      <c r="G256" s="44"/>
      <c r="H256" s="44"/>
      <c r="I256" s="71"/>
      <c r="J256" s="44"/>
      <c r="K256" s="44"/>
      <c r="L256" s="44"/>
      <c r="M256" s="44"/>
      <c r="N256" s="44"/>
      <c r="O256" s="73"/>
      <c r="P256" s="44" t="str">
        <f t="shared" si="3"/>
        <v/>
      </c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x14ac:dyDescent="0.25">
      <c r="A257" s="78"/>
      <c r="B257" s="78"/>
      <c r="C257" s="44"/>
      <c r="D257" s="44"/>
      <c r="E257" s="44"/>
      <c r="F257" s="44"/>
      <c r="G257" s="44"/>
      <c r="H257" s="44"/>
      <c r="I257" s="71"/>
      <c r="J257" s="44"/>
      <c r="K257" s="44"/>
      <c r="L257" s="44"/>
      <c r="M257" s="44"/>
      <c r="N257" s="44"/>
      <c r="O257" s="73"/>
      <c r="P257" s="44" t="str">
        <f t="shared" si="3"/>
        <v/>
      </c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x14ac:dyDescent="0.25">
      <c r="A258" s="78"/>
      <c r="B258" s="78"/>
      <c r="C258" s="44"/>
      <c r="D258" s="44"/>
      <c r="E258" s="44"/>
      <c r="F258" s="44"/>
      <c r="G258" s="44"/>
      <c r="H258" s="44"/>
      <c r="I258" s="71"/>
      <c r="J258" s="44"/>
      <c r="K258" s="44"/>
      <c r="L258" s="44"/>
      <c r="M258" s="44"/>
      <c r="N258" s="44"/>
      <c r="O258" s="73"/>
      <c r="P258" s="44" t="str">
        <f t="shared" si="3"/>
        <v/>
      </c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x14ac:dyDescent="0.25">
      <c r="A259" s="78"/>
      <c r="B259" s="78"/>
      <c r="C259" s="44"/>
      <c r="D259" s="44"/>
      <c r="E259" s="44"/>
      <c r="F259" s="44"/>
      <c r="G259" s="44"/>
      <c r="H259" s="44"/>
      <c r="I259" s="71"/>
      <c r="J259" s="44"/>
      <c r="K259" s="44"/>
      <c r="L259" s="44"/>
      <c r="M259" s="44"/>
      <c r="N259" s="44"/>
      <c r="O259" s="73"/>
      <c r="P259" s="44" t="str">
        <f t="shared" si="3"/>
        <v/>
      </c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x14ac:dyDescent="0.25">
      <c r="A260" s="78"/>
      <c r="B260" s="78"/>
      <c r="C260" s="44"/>
      <c r="D260" s="44"/>
      <c r="E260" s="44"/>
      <c r="F260" s="44"/>
      <c r="G260" s="44"/>
      <c r="H260" s="44"/>
      <c r="I260" s="71"/>
      <c r="J260" s="44"/>
      <c r="K260" s="44"/>
      <c r="L260" s="44"/>
      <c r="M260" s="44"/>
      <c r="N260" s="44"/>
      <c r="O260" s="73"/>
      <c r="P260" s="44" t="str">
        <f t="shared" si="3"/>
        <v/>
      </c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x14ac:dyDescent="0.25">
      <c r="A261" s="78"/>
      <c r="B261" s="78"/>
      <c r="C261" s="44"/>
      <c r="D261" s="44"/>
      <c r="E261" s="44"/>
      <c r="F261" s="44"/>
      <c r="G261" s="44"/>
      <c r="H261" s="44"/>
      <c r="I261" s="71"/>
      <c r="J261" s="44"/>
      <c r="K261" s="44"/>
      <c r="L261" s="44"/>
      <c r="M261" s="44"/>
      <c r="N261" s="44"/>
      <c r="O261" s="73"/>
      <c r="P261" s="44" t="str">
        <f t="shared" si="3"/>
        <v/>
      </c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x14ac:dyDescent="0.25">
      <c r="A262" s="78"/>
      <c r="B262" s="78"/>
      <c r="C262" s="44"/>
      <c r="D262" s="44"/>
      <c r="E262" s="44"/>
      <c r="F262" s="44"/>
      <c r="G262" s="44"/>
      <c r="H262" s="44"/>
      <c r="I262" s="71"/>
      <c r="J262" s="44"/>
      <c r="K262" s="44"/>
      <c r="L262" s="44"/>
      <c r="M262" s="44"/>
      <c r="N262" s="44"/>
      <c r="O262" s="73"/>
      <c r="P262" s="44" t="str">
        <f t="shared" si="3"/>
        <v/>
      </c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x14ac:dyDescent="0.25">
      <c r="A263" s="78"/>
      <c r="B263" s="78"/>
      <c r="C263" s="44"/>
      <c r="D263" s="44"/>
      <c r="E263" s="44"/>
      <c r="F263" s="44"/>
      <c r="G263" s="44"/>
      <c r="H263" s="44"/>
      <c r="I263" s="71"/>
      <c r="J263" s="44"/>
      <c r="K263" s="44"/>
      <c r="L263" s="44"/>
      <c r="M263" s="44"/>
      <c r="N263" s="44"/>
      <c r="O263" s="73"/>
      <c r="P263" s="44" t="str">
        <f t="shared" ref="P263:P326" si="4">IF(I263="","",SUMIFS(OrderItems_Qty,OrderItems_Type,"PURCHASE",OrderItems_SKU,I263)-SUMIFS(OrderItems_Qty,OrderItems_Type,"SALE",OrderItems_SKU,I263))</f>
        <v/>
      </c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x14ac:dyDescent="0.25">
      <c r="A264" s="78"/>
      <c r="B264" s="78"/>
      <c r="C264" s="44"/>
      <c r="D264" s="44"/>
      <c r="E264" s="44"/>
      <c r="F264" s="44"/>
      <c r="G264" s="44"/>
      <c r="H264" s="44"/>
      <c r="I264" s="71"/>
      <c r="J264" s="44"/>
      <c r="K264" s="44"/>
      <c r="L264" s="44"/>
      <c r="M264" s="44"/>
      <c r="N264" s="44"/>
      <c r="O264" s="73"/>
      <c r="P264" s="44" t="str">
        <f t="shared" si="4"/>
        <v/>
      </c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x14ac:dyDescent="0.25">
      <c r="A265" s="78"/>
      <c r="B265" s="78"/>
      <c r="C265" s="44"/>
      <c r="D265" s="44"/>
      <c r="E265" s="44"/>
      <c r="F265" s="44"/>
      <c r="G265" s="44"/>
      <c r="H265" s="44"/>
      <c r="I265" s="71"/>
      <c r="J265" s="44"/>
      <c r="K265" s="44"/>
      <c r="L265" s="44"/>
      <c r="M265" s="44"/>
      <c r="N265" s="44"/>
      <c r="O265" s="73"/>
      <c r="P265" s="44" t="str">
        <f t="shared" si="4"/>
        <v/>
      </c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x14ac:dyDescent="0.25">
      <c r="A266" s="78"/>
      <c r="B266" s="78"/>
      <c r="C266" s="44"/>
      <c r="D266" s="44"/>
      <c r="E266" s="44"/>
      <c r="F266" s="44"/>
      <c r="G266" s="44"/>
      <c r="H266" s="44"/>
      <c r="I266" s="71"/>
      <c r="J266" s="44"/>
      <c r="K266" s="44"/>
      <c r="L266" s="44"/>
      <c r="M266" s="44"/>
      <c r="N266" s="44"/>
      <c r="O266" s="73"/>
      <c r="P266" s="44" t="str">
        <f t="shared" si="4"/>
        <v/>
      </c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x14ac:dyDescent="0.25">
      <c r="A267" s="78"/>
      <c r="B267" s="78"/>
      <c r="C267" s="44"/>
      <c r="D267" s="44"/>
      <c r="E267" s="44"/>
      <c r="F267" s="44"/>
      <c r="G267" s="44"/>
      <c r="H267" s="44"/>
      <c r="I267" s="71"/>
      <c r="J267" s="44"/>
      <c r="K267" s="44"/>
      <c r="L267" s="44"/>
      <c r="M267" s="44"/>
      <c r="N267" s="44"/>
      <c r="O267" s="73"/>
      <c r="P267" s="44" t="str">
        <f t="shared" si="4"/>
        <v/>
      </c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x14ac:dyDescent="0.25">
      <c r="A268" s="78"/>
      <c r="B268" s="78"/>
      <c r="C268" s="44"/>
      <c r="D268" s="44"/>
      <c r="E268" s="44"/>
      <c r="F268" s="44"/>
      <c r="G268" s="44"/>
      <c r="H268" s="44"/>
      <c r="I268" s="71"/>
      <c r="J268" s="44"/>
      <c r="K268" s="44"/>
      <c r="L268" s="44"/>
      <c r="M268" s="44"/>
      <c r="N268" s="44"/>
      <c r="O268" s="73"/>
      <c r="P268" s="44" t="str">
        <f t="shared" si="4"/>
        <v/>
      </c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x14ac:dyDescent="0.25">
      <c r="A269" s="78"/>
      <c r="B269" s="78"/>
      <c r="C269" s="44"/>
      <c r="D269" s="44"/>
      <c r="E269" s="44"/>
      <c r="F269" s="44"/>
      <c r="G269" s="44"/>
      <c r="H269" s="44"/>
      <c r="I269" s="71"/>
      <c r="J269" s="44"/>
      <c r="K269" s="44"/>
      <c r="L269" s="44"/>
      <c r="M269" s="44"/>
      <c r="N269" s="44"/>
      <c r="O269" s="73"/>
      <c r="P269" s="44" t="str">
        <f t="shared" si="4"/>
        <v/>
      </c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x14ac:dyDescent="0.25">
      <c r="A270" s="78"/>
      <c r="B270" s="78"/>
      <c r="C270" s="44"/>
      <c r="D270" s="44"/>
      <c r="E270" s="44"/>
      <c r="F270" s="44"/>
      <c r="G270" s="44"/>
      <c r="H270" s="44"/>
      <c r="I270" s="71"/>
      <c r="J270" s="44"/>
      <c r="K270" s="44"/>
      <c r="L270" s="44"/>
      <c r="M270" s="44"/>
      <c r="N270" s="44"/>
      <c r="O270" s="73"/>
      <c r="P270" s="44" t="str">
        <f t="shared" si="4"/>
        <v/>
      </c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x14ac:dyDescent="0.25">
      <c r="A271" s="78"/>
      <c r="B271" s="78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 t="str">
        <f t="shared" si="4"/>
        <v/>
      </c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x14ac:dyDescent="0.25">
      <c r="A272" s="78"/>
      <c r="B272" s="78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 t="str">
        <f t="shared" si="4"/>
        <v/>
      </c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x14ac:dyDescent="0.25">
      <c r="A273" s="78"/>
      <c r="B273" s="78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 t="str">
        <f t="shared" si="4"/>
        <v/>
      </c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x14ac:dyDescent="0.25">
      <c r="A274" s="78"/>
      <c r="B274" s="78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 t="str">
        <f t="shared" si="4"/>
        <v/>
      </c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x14ac:dyDescent="0.25">
      <c r="A275" s="78"/>
      <c r="B275" s="78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 t="str">
        <f t="shared" si="4"/>
        <v/>
      </c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x14ac:dyDescent="0.25">
      <c r="A276" s="78"/>
      <c r="B276" s="78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 t="str">
        <f t="shared" si="4"/>
        <v/>
      </c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x14ac:dyDescent="0.25">
      <c r="A277" s="78"/>
      <c r="B277" s="78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 t="str">
        <f t="shared" si="4"/>
        <v/>
      </c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x14ac:dyDescent="0.25">
      <c r="A278" s="78"/>
      <c r="B278" s="78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 t="str">
        <f t="shared" si="4"/>
        <v/>
      </c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x14ac:dyDescent="0.25">
      <c r="A279" s="78"/>
      <c r="B279" s="78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 t="str">
        <f t="shared" si="4"/>
        <v/>
      </c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x14ac:dyDescent="0.25">
      <c r="A280" s="78"/>
      <c r="B280" s="78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 t="str">
        <f t="shared" si="4"/>
        <v/>
      </c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x14ac:dyDescent="0.25">
      <c r="A281" s="78"/>
      <c r="B281" s="78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 t="str">
        <f t="shared" si="4"/>
        <v/>
      </c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x14ac:dyDescent="0.25">
      <c r="A282" s="78"/>
      <c r="B282" s="78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 t="str">
        <f t="shared" si="4"/>
        <v/>
      </c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x14ac:dyDescent="0.25">
      <c r="A283" s="78"/>
      <c r="B283" s="78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 t="str">
        <f t="shared" si="4"/>
        <v/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x14ac:dyDescent="0.25">
      <c r="A284" s="78"/>
      <c r="B284" s="78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 t="str">
        <f t="shared" si="4"/>
        <v/>
      </c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x14ac:dyDescent="0.25">
      <c r="A285" s="78"/>
      <c r="B285" s="78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 t="str">
        <f t="shared" si="4"/>
        <v/>
      </c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x14ac:dyDescent="0.25">
      <c r="A286" s="78"/>
      <c r="B286" s="78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 t="str">
        <f t="shared" si="4"/>
        <v/>
      </c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x14ac:dyDescent="0.25">
      <c r="A287" s="78"/>
      <c r="B287" s="78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 t="str">
        <f t="shared" si="4"/>
        <v/>
      </c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x14ac:dyDescent="0.25">
      <c r="A288" s="78"/>
      <c r="B288" s="78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 t="str">
        <f t="shared" si="4"/>
        <v/>
      </c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x14ac:dyDescent="0.25">
      <c r="A289" s="78"/>
      <c r="B289" s="78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 t="str">
        <f t="shared" si="4"/>
        <v/>
      </c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x14ac:dyDescent="0.25">
      <c r="A290" s="78"/>
      <c r="B290" s="78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 t="str">
        <f t="shared" si="4"/>
        <v/>
      </c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x14ac:dyDescent="0.25">
      <c r="A291" s="78"/>
      <c r="B291" s="78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 t="str">
        <f t="shared" si="4"/>
        <v/>
      </c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x14ac:dyDescent="0.25">
      <c r="A292" s="78"/>
      <c r="B292" s="78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 t="str">
        <f t="shared" si="4"/>
        <v/>
      </c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x14ac:dyDescent="0.25">
      <c r="A293" s="78"/>
      <c r="B293" s="78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 t="str">
        <f t="shared" si="4"/>
        <v/>
      </c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x14ac:dyDescent="0.25">
      <c r="A294" s="78"/>
      <c r="B294" s="78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 t="str">
        <f t="shared" si="4"/>
        <v/>
      </c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x14ac:dyDescent="0.25">
      <c r="A295" s="78"/>
      <c r="B295" s="78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 t="str">
        <f t="shared" si="4"/>
        <v/>
      </c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x14ac:dyDescent="0.25">
      <c r="A296" s="78"/>
      <c r="B296" s="78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 t="str">
        <f t="shared" si="4"/>
        <v/>
      </c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x14ac:dyDescent="0.25">
      <c r="A297" s="78"/>
      <c r="B297" s="78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 t="str">
        <f t="shared" si="4"/>
        <v/>
      </c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x14ac:dyDescent="0.25">
      <c r="A298" s="78"/>
      <c r="B298" s="78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 t="str">
        <f t="shared" si="4"/>
        <v/>
      </c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x14ac:dyDescent="0.25">
      <c r="A299" s="78"/>
      <c r="B299" s="78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 t="str">
        <f t="shared" si="4"/>
        <v/>
      </c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x14ac:dyDescent="0.25">
      <c r="A300" s="78"/>
      <c r="B300" s="78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 t="str">
        <f t="shared" si="4"/>
        <v/>
      </c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x14ac:dyDescent="0.25">
      <c r="A301" s="78"/>
      <c r="B301" s="78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 t="str">
        <f t="shared" si="4"/>
        <v/>
      </c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x14ac:dyDescent="0.25">
      <c r="A302" s="78"/>
      <c r="B302" s="78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 t="str">
        <f t="shared" si="4"/>
        <v/>
      </c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x14ac:dyDescent="0.25">
      <c r="A303" s="78"/>
      <c r="B303" s="78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 t="str">
        <f t="shared" si="4"/>
        <v/>
      </c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x14ac:dyDescent="0.25">
      <c r="A304" s="78"/>
      <c r="B304" s="78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 t="str">
        <f t="shared" si="4"/>
        <v/>
      </c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x14ac:dyDescent="0.25">
      <c r="A305" s="78"/>
      <c r="B305" s="78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 t="str">
        <f t="shared" si="4"/>
        <v/>
      </c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x14ac:dyDescent="0.25">
      <c r="A306" s="78"/>
      <c r="B306" s="78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 t="str">
        <f t="shared" si="4"/>
        <v/>
      </c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x14ac:dyDescent="0.25">
      <c r="A307" s="78"/>
      <c r="B307" s="78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 t="str">
        <f t="shared" si="4"/>
        <v/>
      </c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x14ac:dyDescent="0.25">
      <c r="A308" s="78"/>
      <c r="B308" s="78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 t="str">
        <f t="shared" si="4"/>
        <v/>
      </c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x14ac:dyDescent="0.25">
      <c r="A309" s="78"/>
      <c r="B309" s="78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 t="str">
        <f t="shared" si="4"/>
        <v/>
      </c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x14ac:dyDescent="0.25">
      <c r="A310" s="78"/>
      <c r="B310" s="78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 t="str">
        <f t="shared" si="4"/>
        <v/>
      </c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x14ac:dyDescent="0.25">
      <c r="A311" s="78"/>
      <c r="B311" s="78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 t="str">
        <f t="shared" si="4"/>
        <v/>
      </c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x14ac:dyDescent="0.25">
      <c r="A312" s="78"/>
      <c r="B312" s="78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 t="str">
        <f t="shared" si="4"/>
        <v/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x14ac:dyDescent="0.25">
      <c r="A313" s="78"/>
      <c r="B313" s="78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 t="str">
        <f t="shared" si="4"/>
        <v/>
      </c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x14ac:dyDescent="0.25">
      <c r="A314" s="78"/>
      <c r="B314" s="78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 t="str">
        <f t="shared" si="4"/>
        <v/>
      </c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x14ac:dyDescent="0.25">
      <c r="A315" s="78"/>
      <c r="B315" s="78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 t="str">
        <f t="shared" si="4"/>
        <v/>
      </c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x14ac:dyDescent="0.25">
      <c r="A316" s="78"/>
      <c r="B316" s="78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 t="str">
        <f t="shared" si="4"/>
        <v/>
      </c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x14ac:dyDescent="0.25">
      <c r="A317" s="78"/>
      <c r="B317" s="78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 t="str">
        <f t="shared" si="4"/>
        <v/>
      </c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x14ac:dyDescent="0.25">
      <c r="A318" s="78"/>
      <c r="B318" s="78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 t="str">
        <f t="shared" si="4"/>
        <v/>
      </c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x14ac:dyDescent="0.25">
      <c r="A319" s="78"/>
      <c r="B319" s="78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 t="str">
        <f t="shared" si="4"/>
        <v/>
      </c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x14ac:dyDescent="0.25">
      <c r="A320" s="78"/>
      <c r="B320" s="78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 t="str">
        <f t="shared" si="4"/>
        <v/>
      </c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x14ac:dyDescent="0.25">
      <c r="A321" s="78"/>
      <c r="B321" s="78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 t="str">
        <f t="shared" si="4"/>
        <v/>
      </c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x14ac:dyDescent="0.25">
      <c r="A322" s="78"/>
      <c r="B322" s="78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 t="str">
        <f t="shared" si="4"/>
        <v/>
      </c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x14ac:dyDescent="0.25">
      <c r="A323" s="78"/>
      <c r="B323" s="78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 t="str">
        <f t="shared" si="4"/>
        <v/>
      </c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x14ac:dyDescent="0.25">
      <c r="A324" s="78"/>
      <c r="B324" s="78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 t="str">
        <f t="shared" si="4"/>
        <v/>
      </c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x14ac:dyDescent="0.25">
      <c r="A325" s="78"/>
      <c r="B325" s="78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 t="str">
        <f t="shared" si="4"/>
        <v/>
      </c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x14ac:dyDescent="0.25">
      <c r="A326" s="78"/>
      <c r="B326" s="78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 t="str">
        <f t="shared" si="4"/>
        <v/>
      </c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x14ac:dyDescent="0.25"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 t="str">
        <f t="shared" ref="P327:P390" si="5">IF(I327="","",SUMIFS(OrderItems_Qty,OrderItems_Type,"PURCHASE",OrderItems_SKU,I327)-SUMIFS(OrderItems_Qty,OrderItems_Type,"SALE",OrderItems_SKU,I327))</f>
        <v/>
      </c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 t="str">
        <f t="shared" si="5"/>
        <v/>
      </c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 t="str">
        <f t="shared" si="5"/>
        <v/>
      </c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 t="str">
        <f t="shared" si="5"/>
        <v/>
      </c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 t="str">
        <f t="shared" si="5"/>
        <v/>
      </c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 t="str">
        <f t="shared" si="5"/>
        <v/>
      </c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 t="str">
        <f t="shared" si="5"/>
        <v/>
      </c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 t="str">
        <f t="shared" si="5"/>
        <v/>
      </c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 t="str">
        <f t="shared" si="5"/>
        <v/>
      </c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 t="str">
        <f t="shared" si="5"/>
        <v/>
      </c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3:26" x14ac:dyDescent="0.25"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 t="str">
        <f t="shared" si="5"/>
        <v/>
      </c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3:26" x14ac:dyDescent="0.25"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 t="str">
        <f t="shared" si="5"/>
        <v/>
      </c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3:26" x14ac:dyDescent="0.25"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 t="str">
        <f t="shared" si="5"/>
        <v/>
      </c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3:26" x14ac:dyDescent="0.25"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 t="str">
        <f t="shared" si="5"/>
        <v/>
      </c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3:26" x14ac:dyDescent="0.25"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 t="str">
        <f t="shared" si="5"/>
        <v/>
      </c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3:26" x14ac:dyDescent="0.25"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 t="str">
        <f t="shared" si="5"/>
        <v/>
      </c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3:26" x14ac:dyDescent="0.25"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 t="str">
        <f t="shared" si="5"/>
        <v/>
      </c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3:26" x14ac:dyDescent="0.25"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 t="str">
        <f t="shared" si="5"/>
        <v/>
      </c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3:26" x14ac:dyDescent="0.25"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 t="str">
        <f t="shared" si="5"/>
        <v/>
      </c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3:26" x14ac:dyDescent="0.25"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 t="str">
        <f t="shared" si="5"/>
        <v/>
      </c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3:26" x14ac:dyDescent="0.25"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 t="str">
        <f t="shared" si="5"/>
        <v/>
      </c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3:26" x14ac:dyDescent="0.25"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 t="str">
        <f t="shared" si="5"/>
        <v/>
      </c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3:26" x14ac:dyDescent="0.25"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 t="str">
        <f t="shared" si="5"/>
        <v/>
      </c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3:26" x14ac:dyDescent="0.25"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 t="str">
        <f t="shared" si="5"/>
        <v/>
      </c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3:26" x14ac:dyDescent="0.25"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 t="str">
        <f t="shared" si="5"/>
        <v/>
      </c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3:26" x14ac:dyDescent="0.25"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 t="str">
        <f t="shared" si="5"/>
        <v/>
      </c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3:26" x14ac:dyDescent="0.25"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 t="str">
        <f t="shared" si="5"/>
        <v/>
      </c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3:26" x14ac:dyDescent="0.25"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 t="str">
        <f t="shared" si="5"/>
        <v/>
      </c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3:26" x14ac:dyDescent="0.25"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 t="str">
        <f t="shared" si="5"/>
        <v/>
      </c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3:26" x14ac:dyDescent="0.25"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 t="str">
        <f t="shared" si="5"/>
        <v/>
      </c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3:26" x14ac:dyDescent="0.25"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 t="str">
        <f t="shared" si="5"/>
        <v/>
      </c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3:26" x14ac:dyDescent="0.25"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 t="str">
        <f t="shared" si="5"/>
        <v/>
      </c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3:26" x14ac:dyDescent="0.25"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 t="str">
        <f t="shared" si="5"/>
        <v/>
      </c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3:26" x14ac:dyDescent="0.25"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 t="str">
        <f t="shared" si="5"/>
        <v/>
      </c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3:26" x14ac:dyDescent="0.25"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 t="str">
        <f t="shared" si="5"/>
        <v/>
      </c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3:26" x14ac:dyDescent="0.25"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 t="str">
        <f t="shared" si="5"/>
        <v/>
      </c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3:26" x14ac:dyDescent="0.25"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 t="str">
        <f t="shared" si="5"/>
        <v/>
      </c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3:26" x14ac:dyDescent="0.25"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 t="str">
        <f t="shared" si="5"/>
        <v/>
      </c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3:26" x14ac:dyDescent="0.25"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 t="str">
        <f t="shared" si="5"/>
        <v/>
      </c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3:26" x14ac:dyDescent="0.25"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 t="str">
        <f t="shared" si="5"/>
        <v/>
      </c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3:26" x14ac:dyDescent="0.25"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 t="str">
        <f t="shared" si="5"/>
        <v/>
      </c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3:26" x14ac:dyDescent="0.25"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 t="str">
        <f t="shared" si="5"/>
        <v/>
      </c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3:26" x14ac:dyDescent="0.25"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 t="str">
        <f t="shared" si="5"/>
        <v/>
      </c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3:26" x14ac:dyDescent="0.25"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 t="str">
        <f t="shared" si="5"/>
        <v/>
      </c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3:26" x14ac:dyDescent="0.25"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 t="str">
        <f t="shared" si="5"/>
        <v/>
      </c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3:26" x14ac:dyDescent="0.25"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 t="str">
        <f t="shared" si="5"/>
        <v/>
      </c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3:26" x14ac:dyDescent="0.25"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 t="str">
        <f t="shared" si="5"/>
        <v/>
      </c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3:26" x14ac:dyDescent="0.25"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 t="str">
        <f t="shared" si="5"/>
        <v/>
      </c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3:26" x14ac:dyDescent="0.25"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 t="str">
        <f t="shared" si="5"/>
        <v/>
      </c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3:26" x14ac:dyDescent="0.25"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 t="str">
        <f t="shared" si="5"/>
        <v/>
      </c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3:26" x14ac:dyDescent="0.25"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 t="str">
        <f t="shared" si="5"/>
        <v/>
      </c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3:26" x14ac:dyDescent="0.25"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 t="str">
        <f t="shared" si="5"/>
        <v/>
      </c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3:26" x14ac:dyDescent="0.25"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 t="str">
        <f t="shared" si="5"/>
        <v/>
      </c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3:26" x14ac:dyDescent="0.25"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 t="str">
        <f t="shared" si="5"/>
        <v/>
      </c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3:26" x14ac:dyDescent="0.25"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 t="str">
        <f t="shared" si="5"/>
        <v/>
      </c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3:26" x14ac:dyDescent="0.25"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 t="str">
        <f t="shared" si="5"/>
        <v/>
      </c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3:26" x14ac:dyDescent="0.25"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 t="str">
        <f t="shared" si="5"/>
        <v/>
      </c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3:26" x14ac:dyDescent="0.25"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 t="str">
        <f t="shared" si="5"/>
        <v/>
      </c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3:26" x14ac:dyDescent="0.25"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 t="str">
        <f t="shared" si="5"/>
        <v/>
      </c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3:26" x14ac:dyDescent="0.25"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 t="str">
        <f t="shared" si="5"/>
        <v/>
      </c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3:26" x14ac:dyDescent="0.25"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 t="str">
        <f t="shared" si="5"/>
        <v/>
      </c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3:26" x14ac:dyDescent="0.25">
      <c r="P388" t="str">
        <f t="shared" si="5"/>
        <v/>
      </c>
      <c r="W388" s="41"/>
      <c r="X388" s="41"/>
      <c r="Y388" s="41"/>
      <c r="Z388" s="41"/>
    </row>
    <row r="389" spans="3:26" x14ac:dyDescent="0.25">
      <c r="P389" t="str">
        <f t="shared" si="5"/>
        <v/>
      </c>
      <c r="W389" s="41"/>
      <c r="X389" s="41"/>
      <c r="Y389" s="41"/>
      <c r="Z389" s="41"/>
    </row>
    <row r="390" spans="3:26" x14ac:dyDescent="0.25">
      <c r="P390" t="str">
        <f t="shared" si="5"/>
        <v/>
      </c>
      <c r="W390" s="41"/>
      <c r="X390" s="41"/>
      <c r="Y390" s="41"/>
      <c r="Z390" s="41"/>
    </row>
    <row r="391" spans="3:26" x14ac:dyDescent="0.25">
      <c r="P391" t="str">
        <f t="shared" ref="P391:P454" si="6">IF(I391="","",SUMIFS(OrderItems_Qty,OrderItems_Type,"PURCHASE",OrderItems_SKU,I391)-SUMIFS(OrderItems_Qty,OrderItems_Type,"SALE",OrderItems_SKU,I391))</f>
        <v/>
      </c>
      <c r="W391" s="41"/>
      <c r="X391" s="41"/>
      <c r="Y391" s="41"/>
      <c r="Z391" s="41"/>
    </row>
    <row r="392" spans="3:26" x14ac:dyDescent="0.25">
      <c r="P392" t="str">
        <f t="shared" si="6"/>
        <v/>
      </c>
      <c r="W392" s="41"/>
      <c r="X392" s="41"/>
      <c r="Y392" s="41"/>
      <c r="Z392" s="41"/>
    </row>
    <row r="393" spans="3:26" x14ac:dyDescent="0.25">
      <c r="P393" t="str">
        <f t="shared" si="6"/>
        <v/>
      </c>
      <c r="W393" s="41"/>
      <c r="X393" s="41"/>
      <c r="Y393" s="41"/>
      <c r="Z393" s="41"/>
    </row>
    <row r="394" spans="3:26" x14ac:dyDescent="0.25">
      <c r="P394" t="str">
        <f t="shared" si="6"/>
        <v/>
      </c>
      <c r="W394" s="41"/>
      <c r="X394" s="41"/>
      <c r="Y394" s="41"/>
      <c r="Z394" s="41"/>
    </row>
    <row r="395" spans="3:26" x14ac:dyDescent="0.25">
      <c r="P395" t="str">
        <f t="shared" si="6"/>
        <v/>
      </c>
      <c r="W395" s="41"/>
      <c r="X395" s="41"/>
      <c r="Y395" s="41"/>
      <c r="Z395" s="41"/>
    </row>
    <row r="396" spans="3:26" x14ac:dyDescent="0.25">
      <c r="P396" t="str">
        <f t="shared" si="6"/>
        <v/>
      </c>
      <c r="W396" s="41"/>
      <c r="X396" s="41"/>
      <c r="Y396" s="41"/>
      <c r="Z396" s="41"/>
    </row>
    <row r="397" spans="3:26" x14ac:dyDescent="0.25">
      <c r="P397" t="str">
        <f t="shared" si="6"/>
        <v/>
      </c>
      <c r="W397" s="41"/>
      <c r="X397" s="41"/>
      <c r="Y397" s="41"/>
      <c r="Z397" s="41"/>
    </row>
    <row r="398" spans="3:26" x14ac:dyDescent="0.25">
      <c r="P398" t="str">
        <f t="shared" si="6"/>
        <v/>
      </c>
      <c r="W398" s="41"/>
      <c r="X398" s="41"/>
      <c r="Y398" s="41"/>
      <c r="Z398" s="41"/>
    </row>
    <row r="399" spans="3:26" x14ac:dyDescent="0.25">
      <c r="P399" t="str">
        <f t="shared" si="6"/>
        <v/>
      </c>
      <c r="W399" s="41"/>
      <c r="X399" s="41"/>
      <c r="Y399" s="41"/>
      <c r="Z399" s="41"/>
    </row>
    <row r="400" spans="3:26" x14ac:dyDescent="0.25">
      <c r="P400" t="str">
        <f t="shared" si="6"/>
        <v/>
      </c>
      <c r="W400" s="41"/>
      <c r="X400" s="41"/>
      <c r="Y400" s="41"/>
      <c r="Z400" s="41"/>
    </row>
    <row r="401" spans="16:26" x14ac:dyDescent="0.25">
      <c r="P401" t="str">
        <f t="shared" si="6"/>
        <v/>
      </c>
      <c r="W401" s="41"/>
      <c r="X401" s="41"/>
      <c r="Y401" s="41"/>
      <c r="Z401" s="41"/>
    </row>
    <row r="402" spans="16:26" x14ac:dyDescent="0.25">
      <c r="P402" t="str">
        <f t="shared" si="6"/>
        <v/>
      </c>
      <c r="W402" s="41"/>
      <c r="X402" s="41"/>
      <c r="Y402" s="41"/>
      <c r="Z402" s="41"/>
    </row>
    <row r="403" spans="16:26" x14ac:dyDescent="0.25">
      <c r="P403" t="str">
        <f t="shared" si="6"/>
        <v/>
      </c>
      <c r="W403" s="41"/>
      <c r="X403" s="41"/>
      <c r="Y403" s="41"/>
      <c r="Z403" s="41"/>
    </row>
    <row r="404" spans="16:26" x14ac:dyDescent="0.25">
      <c r="P404" t="str">
        <f t="shared" si="6"/>
        <v/>
      </c>
      <c r="W404" s="41"/>
      <c r="X404" s="41"/>
      <c r="Y404" s="41"/>
      <c r="Z404" s="41"/>
    </row>
    <row r="405" spans="16:26" x14ac:dyDescent="0.25">
      <c r="P405" t="str">
        <f t="shared" si="6"/>
        <v/>
      </c>
      <c r="W405" s="41"/>
      <c r="X405" s="41"/>
      <c r="Y405" s="41"/>
      <c r="Z405" s="41"/>
    </row>
    <row r="406" spans="16:26" x14ac:dyDescent="0.25">
      <c r="P406" t="str">
        <f t="shared" si="6"/>
        <v/>
      </c>
      <c r="W406" s="41"/>
      <c r="X406" s="41"/>
      <c r="Y406" s="41"/>
      <c r="Z406" s="41"/>
    </row>
    <row r="407" spans="16:26" x14ac:dyDescent="0.25">
      <c r="P407" t="str">
        <f t="shared" si="6"/>
        <v/>
      </c>
      <c r="W407" s="41"/>
      <c r="X407" s="41"/>
      <c r="Y407" s="41"/>
      <c r="Z407" s="41"/>
    </row>
    <row r="408" spans="16:26" x14ac:dyDescent="0.25">
      <c r="P408" t="str">
        <f t="shared" si="6"/>
        <v/>
      </c>
      <c r="W408" s="41"/>
      <c r="X408" s="41"/>
      <c r="Y408" s="41"/>
      <c r="Z408" s="41"/>
    </row>
    <row r="409" spans="16:26" x14ac:dyDescent="0.25">
      <c r="P409" t="str">
        <f t="shared" si="6"/>
        <v/>
      </c>
      <c r="W409" s="41"/>
      <c r="X409" s="41"/>
      <c r="Y409" s="41"/>
      <c r="Z409" s="41"/>
    </row>
    <row r="410" spans="16:26" x14ac:dyDescent="0.25">
      <c r="P410" t="str">
        <f t="shared" si="6"/>
        <v/>
      </c>
      <c r="W410" s="41"/>
      <c r="X410" s="41"/>
      <c r="Y410" s="41"/>
      <c r="Z410" s="41"/>
    </row>
    <row r="411" spans="16:26" x14ac:dyDescent="0.25">
      <c r="P411" t="str">
        <f t="shared" si="6"/>
        <v/>
      </c>
      <c r="W411" s="41"/>
      <c r="X411" s="41"/>
      <c r="Y411" s="41"/>
      <c r="Z411" s="41"/>
    </row>
    <row r="412" spans="16:26" x14ac:dyDescent="0.25">
      <c r="P412" t="str">
        <f t="shared" si="6"/>
        <v/>
      </c>
      <c r="W412" s="41"/>
      <c r="X412" s="41"/>
      <c r="Y412" s="41"/>
      <c r="Z412" s="41"/>
    </row>
    <row r="413" spans="16:26" x14ac:dyDescent="0.25">
      <c r="P413" t="str">
        <f t="shared" si="6"/>
        <v/>
      </c>
      <c r="W413" s="41"/>
      <c r="X413" s="41"/>
      <c r="Y413" s="41"/>
      <c r="Z413" s="41"/>
    </row>
    <row r="414" spans="16:26" x14ac:dyDescent="0.25">
      <c r="P414" t="str">
        <f t="shared" si="6"/>
        <v/>
      </c>
      <c r="W414" s="41"/>
      <c r="X414" s="41"/>
      <c r="Y414" s="41"/>
      <c r="Z414" s="41"/>
    </row>
    <row r="415" spans="16:26" x14ac:dyDescent="0.25">
      <c r="P415" t="str">
        <f t="shared" si="6"/>
        <v/>
      </c>
      <c r="W415" s="41"/>
      <c r="X415" s="41"/>
      <c r="Y415" s="41"/>
      <c r="Z415" s="41"/>
    </row>
    <row r="416" spans="16:26" x14ac:dyDescent="0.25">
      <c r="P416" t="str">
        <f t="shared" si="6"/>
        <v/>
      </c>
      <c r="W416" s="41"/>
      <c r="X416" s="41"/>
      <c r="Y416" s="41"/>
      <c r="Z416" s="41"/>
    </row>
    <row r="417" spans="16:26" x14ac:dyDescent="0.25">
      <c r="P417" t="str">
        <f t="shared" si="6"/>
        <v/>
      </c>
      <c r="W417" s="41"/>
      <c r="X417" s="41"/>
      <c r="Y417" s="41"/>
      <c r="Z417" s="41"/>
    </row>
    <row r="418" spans="16:26" x14ac:dyDescent="0.25">
      <c r="P418" t="str">
        <f t="shared" si="6"/>
        <v/>
      </c>
      <c r="W418" s="41"/>
      <c r="X418" s="41"/>
      <c r="Y418" s="41"/>
      <c r="Z418" s="41"/>
    </row>
    <row r="419" spans="16:26" x14ac:dyDescent="0.25">
      <c r="P419" t="str">
        <f t="shared" si="6"/>
        <v/>
      </c>
      <c r="W419" s="41"/>
      <c r="X419" s="41"/>
      <c r="Y419" s="41"/>
      <c r="Z419" s="41"/>
    </row>
    <row r="420" spans="16:26" x14ac:dyDescent="0.25">
      <c r="P420" t="str">
        <f t="shared" si="6"/>
        <v/>
      </c>
      <c r="W420" s="41"/>
      <c r="X420" s="41"/>
      <c r="Y420" s="41"/>
      <c r="Z420" s="41"/>
    </row>
    <row r="421" spans="16:26" x14ac:dyDescent="0.25">
      <c r="P421" t="str">
        <f t="shared" si="6"/>
        <v/>
      </c>
      <c r="W421" s="41"/>
      <c r="X421" s="41"/>
      <c r="Y421" s="41"/>
      <c r="Z421" s="41"/>
    </row>
    <row r="422" spans="16:26" x14ac:dyDescent="0.25">
      <c r="P422" t="str">
        <f t="shared" si="6"/>
        <v/>
      </c>
      <c r="W422" s="41"/>
      <c r="X422" s="41"/>
      <c r="Y422" s="41"/>
      <c r="Z422" s="41"/>
    </row>
    <row r="423" spans="16:26" x14ac:dyDescent="0.25">
      <c r="P423" t="str">
        <f t="shared" si="6"/>
        <v/>
      </c>
      <c r="W423" s="41"/>
      <c r="X423" s="41"/>
      <c r="Y423" s="41"/>
      <c r="Z423" s="41"/>
    </row>
    <row r="424" spans="16:26" x14ac:dyDescent="0.25">
      <c r="P424" t="str">
        <f t="shared" si="6"/>
        <v/>
      </c>
      <c r="W424" s="41"/>
      <c r="X424" s="41"/>
      <c r="Y424" s="41"/>
      <c r="Z424" s="41"/>
    </row>
    <row r="425" spans="16:26" x14ac:dyDescent="0.25">
      <c r="P425" t="str">
        <f t="shared" si="6"/>
        <v/>
      </c>
      <c r="W425" s="41"/>
      <c r="X425" s="41"/>
      <c r="Y425" s="41"/>
      <c r="Z425" s="41"/>
    </row>
    <row r="426" spans="16:26" x14ac:dyDescent="0.25">
      <c r="P426" t="str">
        <f t="shared" si="6"/>
        <v/>
      </c>
      <c r="W426" s="41"/>
      <c r="X426" s="41"/>
      <c r="Y426" s="41"/>
      <c r="Z426" s="41"/>
    </row>
    <row r="427" spans="16:26" x14ac:dyDescent="0.25">
      <c r="P427" t="str">
        <f t="shared" si="6"/>
        <v/>
      </c>
      <c r="W427" s="41"/>
      <c r="X427" s="41"/>
      <c r="Y427" s="41"/>
      <c r="Z427" s="41"/>
    </row>
    <row r="428" spans="16:26" x14ac:dyDescent="0.25">
      <c r="P428" t="str">
        <f t="shared" si="6"/>
        <v/>
      </c>
      <c r="W428" s="41"/>
      <c r="X428" s="41"/>
      <c r="Y428" s="41"/>
      <c r="Z428" s="41"/>
    </row>
    <row r="429" spans="16:26" x14ac:dyDescent="0.25">
      <c r="P429" t="str">
        <f t="shared" si="6"/>
        <v/>
      </c>
      <c r="W429" s="41"/>
      <c r="X429" s="41"/>
      <c r="Y429" s="41"/>
      <c r="Z429" s="41"/>
    </row>
    <row r="430" spans="16:26" x14ac:dyDescent="0.25">
      <c r="P430" t="str">
        <f t="shared" si="6"/>
        <v/>
      </c>
      <c r="W430" s="41"/>
      <c r="X430" s="41"/>
      <c r="Y430" s="41"/>
      <c r="Z430" s="41"/>
    </row>
    <row r="431" spans="16:26" x14ac:dyDescent="0.25">
      <c r="P431" t="str">
        <f t="shared" si="6"/>
        <v/>
      </c>
      <c r="W431" s="41"/>
      <c r="X431" s="41"/>
      <c r="Y431" s="41"/>
      <c r="Z431" s="41"/>
    </row>
    <row r="432" spans="16:26" x14ac:dyDescent="0.25">
      <c r="P432" t="str">
        <f t="shared" si="6"/>
        <v/>
      </c>
      <c r="W432" s="41"/>
      <c r="X432" s="41"/>
      <c r="Y432" s="41"/>
      <c r="Z432" s="41"/>
    </row>
    <row r="433" spans="16:26" x14ac:dyDescent="0.25">
      <c r="P433" t="str">
        <f t="shared" si="6"/>
        <v/>
      </c>
      <c r="W433" s="41"/>
      <c r="X433" s="41"/>
      <c r="Y433" s="41"/>
      <c r="Z433" s="41"/>
    </row>
    <row r="434" spans="16:26" x14ac:dyDescent="0.25">
      <c r="P434" t="str">
        <f t="shared" si="6"/>
        <v/>
      </c>
      <c r="W434" s="41"/>
      <c r="X434" s="41"/>
      <c r="Y434" s="41"/>
      <c r="Z434" s="41"/>
    </row>
    <row r="435" spans="16:26" x14ac:dyDescent="0.25">
      <c r="P435" t="str">
        <f t="shared" si="6"/>
        <v/>
      </c>
      <c r="W435" s="41"/>
      <c r="X435" s="41"/>
      <c r="Y435" s="41"/>
      <c r="Z435" s="41"/>
    </row>
    <row r="436" spans="16:26" x14ac:dyDescent="0.25">
      <c r="P436" t="str">
        <f t="shared" si="6"/>
        <v/>
      </c>
      <c r="W436" s="41"/>
      <c r="X436" s="41"/>
      <c r="Y436" s="41"/>
      <c r="Z436" s="41"/>
    </row>
    <row r="437" spans="16:26" x14ac:dyDescent="0.25">
      <c r="P437" t="str">
        <f t="shared" si="6"/>
        <v/>
      </c>
      <c r="W437" s="41"/>
      <c r="X437" s="41"/>
      <c r="Y437" s="41"/>
      <c r="Z437" s="41"/>
    </row>
    <row r="438" spans="16:26" x14ac:dyDescent="0.25">
      <c r="P438" t="str">
        <f t="shared" si="6"/>
        <v/>
      </c>
      <c r="W438" s="41"/>
      <c r="X438" s="41"/>
      <c r="Y438" s="41"/>
      <c r="Z438" s="41"/>
    </row>
    <row r="439" spans="16:26" x14ac:dyDescent="0.25">
      <c r="P439" t="str">
        <f t="shared" si="6"/>
        <v/>
      </c>
      <c r="W439" s="41"/>
      <c r="X439" s="41"/>
      <c r="Y439" s="41"/>
      <c r="Z439" s="41"/>
    </row>
    <row r="440" spans="16:26" x14ac:dyDescent="0.25">
      <c r="P440" t="str">
        <f t="shared" si="6"/>
        <v/>
      </c>
      <c r="W440" s="41"/>
      <c r="X440" s="41"/>
      <c r="Y440" s="41"/>
      <c r="Z440" s="41"/>
    </row>
    <row r="441" spans="16:26" x14ac:dyDescent="0.25">
      <c r="P441" t="str">
        <f t="shared" si="6"/>
        <v/>
      </c>
      <c r="W441" s="41"/>
      <c r="X441" s="41"/>
      <c r="Y441" s="41"/>
      <c r="Z441" s="41"/>
    </row>
    <row r="442" spans="16:26" x14ac:dyDescent="0.25">
      <c r="P442" t="str">
        <f t="shared" si="6"/>
        <v/>
      </c>
      <c r="W442" s="41"/>
      <c r="X442" s="41"/>
      <c r="Y442" s="41"/>
      <c r="Z442" s="41"/>
    </row>
    <row r="443" spans="16:26" x14ac:dyDescent="0.25">
      <c r="P443" t="str">
        <f t="shared" si="6"/>
        <v/>
      </c>
      <c r="W443" s="41"/>
      <c r="X443" s="41"/>
      <c r="Y443" s="41"/>
      <c r="Z443" s="41"/>
    </row>
    <row r="444" spans="16:26" x14ac:dyDescent="0.25">
      <c r="P444" t="str">
        <f t="shared" si="6"/>
        <v/>
      </c>
    </row>
    <row r="445" spans="16:26" x14ac:dyDescent="0.25">
      <c r="P445" t="str">
        <f t="shared" si="6"/>
        <v/>
      </c>
    </row>
    <row r="446" spans="16:26" x14ac:dyDescent="0.25">
      <c r="P446" t="str">
        <f t="shared" si="6"/>
        <v/>
      </c>
    </row>
    <row r="447" spans="16:26" x14ac:dyDescent="0.25">
      <c r="P447" t="str">
        <f t="shared" si="6"/>
        <v/>
      </c>
    </row>
    <row r="448" spans="16:26" x14ac:dyDescent="0.25">
      <c r="P448" t="str">
        <f t="shared" si="6"/>
        <v/>
      </c>
    </row>
    <row r="449" spans="16:16" x14ac:dyDescent="0.25">
      <c r="P449" t="str">
        <f t="shared" si="6"/>
        <v/>
      </c>
    </row>
    <row r="450" spans="16:16" x14ac:dyDescent="0.25">
      <c r="P450" t="str">
        <f t="shared" si="6"/>
        <v/>
      </c>
    </row>
    <row r="451" spans="16:16" x14ac:dyDescent="0.25">
      <c r="P451" t="str">
        <f t="shared" si="6"/>
        <v/>
      </c>
    </row>
    <row r="452" spans="16:16" x14ac:dyDescent="0.25">
      <c r="P452" t="str">
        <f t="shared" si="6"/>
        <v/>
      </c>
    </row>
    <row r="453" spans="16:16" x14ac:dyDescent="0.25">
      <c r="P453" t="str">
        <f t="shared" si="6"/>
        <v/>
      </c>
    </row>
    <row r="454" spans="16:16" x14ac:dyDescent="0.25">
      <c r="P454" t="str">
        <f t="shared" si="6"/>
        <v/>
      </c>
    </row>
    <row r="455" spans="16:16" x14ac:dyDescent="0.25">
      <c r="P455" t="str">
        <f t="shared" ref="P455:P518" si="7">IF(I455="","",SUMIFS(OrderItems_Qty,OrderItems_Type,"PURCHASE",OrderItems_SKU,I455)-SUMIFS(OrderItems_Qty,OrderItems_Type,"SALE",OrderItems_SKU,I455))</f>
        <v/>
      </c>
    </row>
    <row r="456" spans="16:16" x14ac:dyDescent="0.25">
      <c r="P456" t="str">
        <f t="shared" si="7"/>
        <v/>
      </c>
    </row>
    <row r="457" spans="16:16" x14ac:dyDescent="0.25">
      <c r="P457" t="str">
        <f t="shared" si="7"/>
        <v/>
      </c>
    </row>
    <row r="458" spans="16:16" x14ac:dyDescent="0.25">
      <c r="P458" t="str">
        <f t="shared" si="7"/>
        <v/>
      </c>
    </row>
    <row r="459" spans="16:16" x14ac:dyDescent="0.25">
      <c r="P459" t="str">
        <f t="shared" si="7"/>
        <v/>
      </c>
    </row>
    <row r="460" spans="16:16" x14ac:dyDescent="0.25">
      <c r="P460" t="str">
        <f t="shared" si="7"/>
        <v/>
      </c>
    </row>
    <row r="461" spans="16:16" x14ac:dyDescent="0.25">
      <c r="P461" t="str">
        <f t="shared" si="7"/>
        <v/>
      </c>
    </row>
    <row r="462" spans="16:16" x14ac:dyDescent="0.25">
      <c r="P462" t="str">
        <f t="shared" si="7"/>
        <v/>
      </c>
    </row>
    <row r="463" spans="16:16" x14ac:dyDescent="0.25">
      <c r="P463" t="str">
        <f t="shared" si="7"/>
        <v/>
      </c>
    </row>
    <row r="464" spans="16:16" x14ac:dyDescent="0.25">
      <c r="P464" t="str">
        <f t="shared" si="7"/>
        <v/>
      </c>
    </row>
    <row r="465" spans="16:16" x14ac:dyDescent="0.25">
      <c r="P465" t="str">
        <f t="shared" si="7"/>
        <v/>
      </c>
    </row>
    <row r="466" spans="16:16" x14ac:dyDescent="0.25">
      <c r="P466" t="str">
        <f t="shared" si="7"/>
        <v/>
      </c>
    </row>
    <row r="467" spans="16:16" x14ac:dyDescent="0.25">
      <c r="P467" t="str">
        <f t="shared" si="7"/>
        <v/>
      </c>
    </row>
    <row r="468" spans="16:16" x14ac:dyDescent="0.25">
      <c r="P468" t="str">
        <f t="shared" si="7"/>
        <v/>
      </c>
    </row>
    <row r="469" spans="16:16" x14ac:dyDescent="0.25">
      <c r="P469" t="str">
        <f t="shared" si="7"/>
        <v/>
      </c>
    </row>
    <row r="470" spans="16:16" x14ac:dyDescent="0.25">
      <c r="P470" t="str">
        <f t="shared" si="7"/>
        <v/>
      </c>
    </row>
    <row r="471" spans="16:16" x14ac:dyDescent="0.25">
      <c r="P471" t="str">
        <f t="shared" si="7"/>
        <v/>
      </c>
    </row>
    <row r="472" spans="16:16" x14ac:dyDescent="0.25">
      <c r="P472" t="str">
        <f t="shared" si="7"/>
        <v/>
      </c>
    </row>
    <row r="473" spans="16:16" x14ac:dyDescent="0.25">
      <c r="P473" t="str">
        <f t="shared" si="7"/>
        <v/>
      </c>
    </row>
    <row r="474" spans="16:16" x14ac:dyDescent="0.25">
      <c r="P474" t="str">
        <f t="shared" si="7"/>
        <v/>
      </c>
    </row>
    <row r="475" spans="16:16" x14ac:dyDescent="0.25">
      <c r="P475" t="str">
        <f t="shared" si="7"/>
        <v/>
      </c>
    </row>
    <row r="476" spans="16:16" x14ac:dyDescent="0.25">
      <c r="P476" t="str">
        <f t="shared" si="7"/>
        <v/>
      </c>
    </row>
    <row r="477" spans="16:16" x14ac:dyDescent="0.25">
      <c r="P477" t="str">
        <f t="shared" si="7"/>
        <v/>
      </c>
    </row>
    <row r="478" spans="16:16" x14ac:dyDescent="0.25">
      <c r="P478" t="str">
        <f t="shared" si="7"/>
        <v/>
      </c>
    </row>
    <row r="479" spans="16:16" x14ac:dyDescent="0.25">
      <c r="P479" t="str">
        <f t="shared" si="7"/>
        <v/>
      </c>
    </row>
    <row r="480" spans="16:16" x14ac:dyDescent="0.25">
      <c r="P480" t="str">
        <f t="shared" si="7"/>
        <v/>
      </c>
    </row>
    <row r="481" spans="16:16" x14ac:dyDescent="0.25">
      <c r="P481" t="str">
        <f t="shared" si="7"/>
        <v/>
      </c>
    </row>
    <row r="482" spans="16:16" x14ac:dyDescent="0.25">
      <c r="P482" t="str">
        <f t="shared" si="7"/>
        <v/>
      </c>
    </row>
    <row r="483" spans="16:16" x14ac:dyDescent="0.25">
      <c r="P483" t="str">
        <f t="shared" si="7"/>
        <v/>
      </c>
    </row>
    <row r="484" spans="16:16" x14ac:dyDescent="0.25">
      <c r="P484" t="str">
        <f t="shared" si="7"/>
        <v/>
      </c>
    </row>
    <row r="485" spans="16:16" x14ac:dyDescent="0.25">
      <c r="P485" t="str">
        <f t="shared" si="7"/>
        <v/>
      </c>
    </row>
    <row r="486" spans="16:16" x14ac:dyDescent="0.25">
      <c r="P486" t="str">
        <f t="shared" si="7"/>
        <v/>
      </c>
    </row>
    <row r="487" spans="16:16" x14ac:dyDescent="0.25">
      <c r="P487" t="str">
        <f t="shared" si="7"/>
        <v/>
      </c>
    </row>
    <row r="488" spans="16:16" x14ac:dyDescent="0.25">
      <c r="P488" t="str">
        <f t="shared" si="7"/>
        <v/>
      </c>
    </row>
    <row r="489" spans="16:16" x14ac:dyDescent="0.25">
      <c r="P489" t="str">
        <f t="shared" si="7"/>
        <v/>
      </c>
    </row>
    <row r="490" spans="16:16" x14ac:dyDescent="0.25">
      <c r="P490" t="str">
        <f t="shared" si="7"/>
        <v/>
      </c>
    </row>
    <row r="491" spans="16:16" x14ac:dyDescent="0.25">
      <c r="P491" t="str">
        <f t="shared" si="7"/>
        <v/>
      </c>
    </row>
    <row r="492" spans="16:16" x14ac:dyDescent="0.25">
      <c r="P492" t="str">
        <f t="shared" si="7"/>
        <v/>
      </c>
    </row>
    <row r="493" spans="16:16" x14ac:dyDescent="0.25">
      <c r="P493" t="str">
        <f t="shared" si="7"/>
        <v/>
      </c>
    </row>
    <row r="494" spans="16:16" x14ac:dyDescent="0.25">
      <c r="P494" t="str">
        <f t="shared" si="7"/>
        <v/>
      </c>
    </row>
    <row r="495" spans="16:16" x14ac:dyDescent="0.25">
      <c r="P495" t="str">
        <f t="shared" si="7"/>
        <v/>
      </c>
    </row>
    <row r="496" spans="16:16" x14ac:dyDescent="0.25">
      <c r="P496" t="str">
        <f t="shared" si="7"/>
        <v/>
      </c>
    </row>
    <row r="497" spans="16:16" x14ac:dyDescent="0.25">
      <c r="P497" t="str">
        <f t="shared" si="7"/>
        <v/>
      </c>
    </row>
    <row r="498" spans="16:16" x14ac:dyDescent="0.25">
      <c r="P498" t="str">
        <f t="shared" si="7"/>
        <v/>
      </c>
    </row>
    <row r="499" spans="16:16" x14ac:dyDescent="0.25">
      <c r="P499" t="str">
        <f t="shared" si="7"/>
        <v/>
      </c>
    </row>
    <row r="500" spans="16:16" x14ac:dyDescent="0.25">
      <c r="P500" t="str">
        <f t="shared" si="7"/>
        <v/>
      </c>
    </row>
    <row r="501" spans="16:16" x14ac:dyDescent="0.25">
      <c r="P501" t="str">
        <f t="shared" si="7"/>
        <v/>
      </c>
    </row>
    <row r="502" spans="16:16" x14ac:dyDescent="0.25">
      <c r="P502" t="str">
        <f t="shared" si="7"/>
        <v/>
      </c>
    </row>
    <row r="503" spans="16:16" x14ac:dyDescent="0.25">
      <c r="P503" t="str">
        <f t="shared" si="7"/>
        <v/>
      </c>
    </row>
    <row r="504" spans="16:16" x14ac:dyDescent="0.25">
      <c r="P504" t="str">
        <f t="shared" si="7"/>
        <v/>
      </c>
    </row>
    <row r="505" spans="16:16" x14ac:dyDescent="0.25">
      <c r="P505" t="str">
        <f t="shared" si="7"/>
        <v/>
      </c>
    </row>
    <row r="506" spans="16:16" x14ac:dyDescent="0.25">
      <c r="P506" t="str">
        <f t="shared" si="7"/>
        <v/>
      </c>
    </row>
    <row r="507" spans="16:16" x14ac:dyDescent="0.25">
      <c r="P507" t="str">
        <f t="shared" si="7"/>
        <v/>
      </c>
    </row>
    <row r="508" spans="16:16" x14ac:dyDescent="0.25">
      <c r="P508" t="str">
        <f t="shared" si="7"/>
        <v/>
      </c>
    </row>
    <row r="509" spans="16:16" x14ac:dyDescent="0.25">
      <c r="P509" t="str">
        <f t="shared" si="7"/>
        <v/>
      </c>
    </row>
    <row r="510" spans="16:16" x14ac:dyDescent="0.25">
      <c r="P510" t="str">
        <f t="shared" si="7"/>
        <v/>
      </c>
    </row>
    <row r="511" spans="16:16" x14ac:dyDescent="0.25">
      <c r="P511" t="str">
        <f t="shared" si="7"/>
        <v/>
      </c>
    </row>
    <row r="512" spans="16:16" x14ac:dyDescent="0.25">
      <c r="P512" t="str">
        <f t="shared" si="7"/>
        <v/>
      </c>
    </row>
    <row r="513" spans="16:16" x14ac:dyDescent="0.25">
      <c r="P513" t="str">
        <f t="shared" si="7"/>
        <v/>
      </c>
    </row>
    <row r="514" spans="16:16" x14ac:dyDescent="0.25">
      <c r="P514" t="str">
        <f t="shared" si="7"/>
        <v/>
      </c>
    </row>
    <row r="515" spans="16:16" x14ac:dyDescent="0.25">
      <c r="P515" t="str">
        <f t="shared" si="7"/>
        <v/>
      </c>
    </row>
    <row r="516" spans="16:16" x14ac:dyDescent="0.25">
      <c r="P516" t="str">
        <f t="shared" si="7"/>
        <v/>
      </c>
    </row>
    <row r="517" spans="16:16" x14ac:dyDescent="0.25">
      <c r="P517" t="str">
        <f t="shared" si="7"/>
        <v/>
      </c>
    </row>
    <row r="518" spans="16:16" x14ac:dyDescent="0.25">
      <c r="P518" t="str">
        <f t="shared" si="7"/>
        <v/>
      </c>
    </row>
    <row r="519" spans="16:16" x14ac:dyDescent="0.25">
      <c r="P519" t="str">
        <f t="shared" ref="P519:P582" si="8">IF(I519="","",SUMIFS(OrderItems_Qty,OrderItems_Type,"PURCHASE",OrderItems_SKU,I519)-SUMIFS(OrderItems_Qty,OrderItems_Type,"SALE",OrderItems_SKU,I519))</f>
        <v/>
      </c>
    </row>
    <row r="520" spans="16:16" x14ac:dyDescent="0.25">
      <c r="P520" t="str">
        <f t="shared" si="8"/>
        <v/>
      </c>
    </row>
    <row r="521" spans="16:16" x14ac:dyDescent="0.25">
      <c r="P521" t="str">
        <f t="shared" si="8"/>
        <v/>
      </c>
    </row>
    <row r="522" spans="16:16" x14ac:dyDescent="0.25">
      <c r="P522" t="str">
        <f t="shared" si="8"/>
        <v/>
      </c>
    </row>
    <row r="523" spans="16:16" x14ac:dyDescent="0.25">
      <c r="P523" t="str">
        <f t="shared" si="8"/>
        <v/>
      </c>
    </row>
    <row r="524" spans="16:16" x14ac:dyDescent="0.25">
      <c r="P524" t="str">
        <f t="shared" si="8"/>
        <v/>
      </c>
    </row>
    <row r="525" spans="16:16" x14ac:dyDescent="0.25">
      <c r="P525" t="str">
        <f t="shared" si="8"/>
        <v/>
      </c>
    </row>
    <row r="526" spans="16:16" x14ac:dyDescent="0.25">
      <c r="P526" t="str">
        <f t="shared" si="8"/>
        <v/>
      </c>
    </row>
    <row r="527" spans="16:16" x14ac:dyDescent="0.25">
      <c r="P527" t="str">
        <f t="shared" si="8"/>
        <v/>
      </c>
    </row>
    <row r="528" spans="16:16" x14ac:dyDescent="0.25">
      <c r="P528" t="str">
        <f t="shared" si="8"/>
        <v/>
      </c>
    </row>
    <row r="529" spans="16:16" x14ac:dyDescent="0.25">
      <c r="P529" t="str">
        <f t="shared" si="8"/>
        <v/>
      </c>
    </row>
    <row r="530" spans="16:16" x14ac:dyDescent="0.25">
      <c r="P530" t="str">
        <f t="shared" si="8"/>
        <v/>
      </c>
    </row>
    <row r="531" spans="16:16" x14ac:dyDescent="0.25">
      <c r="P531" t="str">
        <f t="shared" si="8"/>
        <v/>
      </c>
    </row>
    <row r="532" spans="16:16" x14ac:dyDescent="0.25">
      <c r="P532" t="str">
        <f t="shared" si="8"/>
        <v/>
      </c>
    </row>
    <row r="533" spans="16:16" x14ac:dyDescent="0.25">
      <c r="P533" t="str">
        <f t="shared" si="8"/>
        <v/>
      </c>
    </row>
    <row r="534" spans="16:16" x14ac:dyDescent="0.25">
      <c r="P534" t="str">
        <f t="shared" si="8"/>
        <v/>
      </c>
    </row>
    <row r="535" spans="16:16" x14ac:dyDescent="0.25">
      <c r="P535" t="str">
        <f t="shared" si="8"/>
        <v/>
      </c>
    </row>
    <row r="536" spans="16:16" x14ac:dyDescent="0.25">
      <c r="P536" t="str">
        <f t="shared" si="8"/>
        <v/>
      </c>
    </row>
    <row r="537" spans="16:16" x14ac:dyDescent="0.25">
      <c r="P537" t="str">
        <f t="shared" si="8"/>
        <v/>
      </c>
    </row>
    <row r="538" spans="16:16" x14ac:dyDescent="0.25">
      <c r="P538" t="str">
        <f t="shared" si="8"/>
        <v/>
      </c>
    </row>
    <row r="539" spans="16:16" x14ac:dyDescent="0.25">
      <c r="P539" t="str">
        <f t="shared" si="8"/>
        <v/>
      </c>
    </row>
    <row r="540" spans="16:16" x14ac:dyDescent="0.25">
      <c r="P540" t="str">
        <f t="shared" si="8"/>
        <v/>
      </c>
    </row>
    <row r="541" spans="16:16" x14ac:dyDescent="0.25">
      <c r="P541" t="str">
        <f t="shared" si="8"/>
        <v/>
      </c>
    </row>
    <row r="542" spans="16:16" x14ac:dyDescent="0.25">
      <c r="P542" t="str">
        <f t="shared" si="8"/>
        <v/>
      </c>
    </row>
    <row r="543" spans="16:16" x14ac:dyDescent="0.25">
      <c r="P543" t="str">
        <f t="shared" si="8"/>
        <v/>
      </c>
    </row>
    <row r="544" spans="16:16" x14ac:dyDescent="0.25">
      <c r="P544" t="str">
        <f t="shared" si="8"/>
        <v/>
      </c>
    </row>
    <row r="545" spans="16:16" x14ac:dyDescent="0.25">
      <c r="P545" t="str">
        <f t="shared" si="8"/>
        <v/>
      </c>
    </row>
    <row r="546" spans="16:16" x14ac:dyDescent="0.25">
      <c r="P546" t="str">
        <f t="shared" si="8"/>
        <v/>
      </c>
    </row>
    <row r="547" spans="16:16" x14ac:dyDescent="0.25">
      <c r="P547" t="str">
        <f t="shared" si="8"/>
        <v/>
      </c>
    </row>
    <row r="548" spans="16:16" x14ac:dyDescent="0.25">
      <c r="P548" t="str">
        <f t="shared" si="8"/>
        <v/>
      </c>
    </row>
    <row r="549" spans="16:16" x14ac:dyDescent="0.25">
      <c r="P549" t="str">
        <f t="shared" si="8"/>
        <v/>
      </c>
    </row>
    <row r="550" spans="16:16" x14ac:dyDescent="0.25">
      <c r="P550" t="str">
        <f t="shared" si="8"/>
        <v/>
      </c>
    </row>
    <row r="551" spans="16:16" x14ac:dyDescent="0.25">
      <c r="P551" t="str">
        <f t="shared" si="8"/>
        <v/>
      </c>
    </row>
    <row r="552" spans="16:16" x14ac:dyDescent="0.25">
      <c r="P552" t="str">
        <f t="shared" si="8"/>
        <v/>
      </c>
    </row>
    <row r="553" spans="16:16" x14ac:dyDescent="0.25">
      <c r="P553" t="str">
        <f t="shared" si="8"/>
        <v/>
      </c>
    </row>
    <row r="554" spans="16:16" x14ac:dyDescent="0.25">
      <c r="P554" t="str">
        <f t="shared" si="8"/>
        <v/>
      </c>
    </row>
    <row r="555" spans="16:16" x14ac:dyDescent="0.25">
      <c r="P555" t="str">
        <f t="shared" si="8"/>
        <v/>
      </c>
    </row>
    <row r="556" spans="16:16" x14ac:dyDescent="0.25">
      <c r="P556" t="str">
        <f t="shared" si="8"/>
        <v/>
      </c>
    </row>
    <row r="557" spans="16:16" x14ac:dyDescent="0.25">
      <c r="P557" t="str">
        <f t="shared" si="8"/>
        <v/>
      </c>
    </row>
    <row r="558" spans="16:16" x14ac:dyDescent="0.25">
      <c r="P558" t="str">
        <f t="shared" si="8"/>
        <v/>
      </c>
    </row>
    <row r="559" spans="16:16" x14ac:dyDescent="0.25">
      <c r="P559" t="str">
        <f t="shared" si="8"/>
        <v/>
      </c>
    </row>
    <row r="560" spans="16:16" x14ac:dyDescent="0.25">
      <c r="P560" t="str">
        <f t="shared" si="8"/>
        <v/>
      </c>
    </row>
    <row r="561" spans="16:16" x14ac:dyDescent="0.25">
      <c r="P561" t="str">
        <f t="shared" si="8"/>
        <v/>
      </c>
    </row>
    <row r="562" spans="16:16" x14ac:dyDescent="0.25">
      <c r="P562" t="str">
        <f t="shared" si="8"/>
        <v/>
      </c>
    </row>
    <row r="563" spans="16:16" x14ac:dyDescent="0.25">
      <c r="P563" t="str">
        <f t="shared" si="8"/>
        <v/>
      </c>
    </row>
    <row r="564" spans="16:16" x14ac:dyDescent="0.25">
      <c r="P564" t="str">
        <f t="shared" si="8"/>
        <v/>
      </c>
    </row>
    <row r="565" spans="16:16" x14ac:dyDescent="0.25">
      <c r="P565" t="str">
        <f t="shared" si="8"/>
        <v/>
      </c>
    </row>
    <row r="566" spans="16:16" x14ac:dyDescent="0.25">
      <c r="P566" t="str">
        <f t="shared" si="8"/>
        <v/>
      </c>
    </row>
    <row r="567" spans="16:16" x14ac:dyDescent="0.25">
      <c r="P567" t="str">
        <f t="shared" si="8"/>
        <v/>
      </c>
    </row>
    <row r="568" spans="16:16" x14ac:dyDescent="0.25">
      <c r="P568" t="str">
        <f t="shared" si="8"/>
        <v/>
      </c>
    </row>
    <row r="569" spans="16:16" x14ac:dyDescent="0.25">
      <c r="P569" t="str">
        <f t="shared" si="8"/>
        <v/>
      </c>
    </row>
    <row r="570" spans="16:16" x14ac:dyDescent="0.25">
      <c r="P570" t="str">
        <f t="shared" si="8"/>
        <v/>
      </c>
    </row>
    <row r="571" spans="16:16" x14ac:dyDescent="0.25">
      <c r="P571" t="str">
        <f t="shared" si="8"/>
        <v/>
      </c>
    </row>
    <row r="572" spans="16:16" x14ac:dyDescent="0.25">
      <c r="P572" t="str">
        <f t="shared" si="8"/>
        <v/>
      </c>
    </row>
    <row r="573" spans="16:16" x14ac:dyDescent="0.25">
      <c r="P573" t="str">
        <f t="shared" si="8"/>
        <v/>
      </c>
    </row>
    <row r="574" spans="16:16" x14ac:dyDescent="0.25">
      <c r="P574" t="str">
        <f t="shared" si="8"/>
        <v/>
      </c>
    </row>
    <row r="575" spans="16:16" x14ac:dyDescent="0.25">
      <c r="P575" t="str">
        <f t="shared" si="8"/>
        <v/>
      </c>
    </row>
    <row r="576" spans="16:16" x14ac:dyDescent="0.25">
      <c r="P576" t="str">
        <f t="shared" si="8"/>
        <v/>
      </c>
    </row>
    <row r="577" spans="16:16" x14ac:dyDescent="0.25">
      <c r="P577" t="str">
        <f t="shared" si="8"/>
        <v/>
      </c>
    </row>
    <row r="578" spans="16:16" x14ac:dyDescent="0.25">
      <c r="P578" t="str">
        <f t="shared" si="8"/>
        <v/>
      </c>
    </row>
    <row r="579" spans="16:16" x14ac:dyDescent="0.25">
      <c r="P579" t="str">
        <f t="shared" si="8"/>
        <v/>
      </c>
    </row>
    <row r="580" spans="16:16" x14ac:dyDescent="0.25">
      <c r="P580" t="str">
        <f t="shared" si="8"/>
        <v/>
      </c>
    </row>
    <row r="581" spans="16:16" x14ac:dyDescent="0.25">
      <c r="P581" t="str">
        <f t="shared" si="8"/>
        <v/>
      </c>
    </row>
    <row r="582" spans="16:16" x14ac:dyDescent="0.25">
      <c r="P582" t="str">
        <f t="shared" si="8"/>
        <v/>
      </c>
    </row>
    <row r="583" spans="16:16" x14ac:dyDescent="0.25">
      <c r="P583" t="str">
        <f t="shared" ref="P583:P646" si="9">IF(I583="","",SUMIFS(OrderItems_Qty,OrderItems_Type,"PURCHASE",OrderItems_SKU,I583)-SUMIFS(OrderItems_Qty,OrderItems_Type,"SALE",OrderItems_SKU,I583))</f>
        <v/>
      </c>
    </row>
    <row r="584" spans="16:16" x14ac:dyDescent="0.25">
      <c r="P584" t="str">
        <f t="shared" si="9"/>
        <v/>
      </c>
    </row>
    <row r="585" spans="16:16" x14ac:dyDescent="0.25">
      <c r="P585" t="str">
        <f t="shared" si="9"/>
        <v/>
      </c>
    </row>
    <row r="586" spans="16:16" x14ac:dyDescent="0.25">
      <c r="P586" t="str">
        <f t="shared" si="9"/>
        <v/>
      </c>
    </row>
    <row r="587" spans="16:16" x14ac:dyDescent="0.25">
      <c r="P587" t="str">
        <f t="shared" si="9"/>
        <v/>
      </c>
    </row>
    <row r="588" spans="16:16" x14ac:dyDescent="0.25">
      <c r="P588" t="str">
        <f t="shared" si="9"/>
        <v/>
      </c>
    </row>
    <row r="589" spans="16:16" x14ac:dyDescent="0.25">
      <c r="P589" t="str">
        <f t="shared" si="9"/>
        <v/>
      </c>
    </row>
    <row r="590" spans="16:16" x14ac:dyDescent="0.25">
      <c r="P590" t="str">
        <f t="shared" si="9"/>
        <v/>
      </c>
    </row>
    <row r="591" spans="16:16" x14ac:dyDescent="0.25">
      <c r="P591" t="str">
        <f t="shared" si="9"/>
        <v/>
      </c>
    </row>
    <row r="592" spans="16:16" x14ac:dyDescent="0.25">
      <c r="P592" t="str">
        <f t="shared" si="9"/>
        <v/>
      </c>
    </row>
    <row r="593" spans="16:16" x14ac:dyDescent="0.25">
      <c r="P593" t="str">
        <f t="shared" si="9"/>
        <v/>
      </c>
    </row>
    <row r="594" spans="16:16" x14ac:dyDescent="0.25">
      <c r="P594" t="str">
        <f t="shared" si="9"/>
        <v/>
      </c>
    </row>
    <row r="595" spans="16:16" x14ac:dyDescent="0.25">
      <c r="P595" t="str">
        <f t="shared" si="9"/>
        <v/>
      </c>
    </row>
    <row r="596" spans="16:16" x14ac:dyDescent="0.25">
      <c r="P596" t="str">
        <f t="shared" si="9"/>
        <v/>
      </c>
    </row>
    <row r="597" spans="16:16" x14ac:dyDescent="0.25">
      <c r="P597" t="str">
        <f t="shared" si="9"/>
        <v/>
      </c>
    </row>
    <row r="598" spans="16:16" x14ac:dyDescent="0.25">
      <c r="P598" t="str">
        <f t="shared" si="9"/>
        <v/>
      </c>
    </row>
    <row r="599" spans="16:16" x14ac:dyDescent="0.25">
      <c r="P599" t="str">
        <f t="shared" si="9"/>
        <v/>
      </c>
    </row>
    <row r="600" spans="16:16" x14ac:dyDescent="0.25">
      <c r="P600" t="str">
        <f t="shared" si="9"/>
        <v/>
      </c>
    </row>
    <row r="601" spans="16:16" x14ac:dyDescent="0.25">
      <c r="P601" t="str">
        <f t="shared" si="9"/>
        <v/>
      </c>
    </row>
    <row r="602" spans="16:16" x14ac:dyDescent="0.25">
      <c r="P602" t="str">
        <f t="shared" si="9"/>
        <v/>
      </c>
    </row>
    <row r="603" spans="16:16" x14ac:dyDescent="0.25">
      <c r="P603" t="str">
        <f t="shared" si="9"/>
        <v/>
      </c>
    </row>
    <row r="604" spans="16:16" x14ac:dyDescent="0.25">
      <c r="P604" t="str">
        <f t="shared" si="9"/>
        <v/>
      </c>
    </row>
    <row r="605" spans="16:16" x14ac:dyDescent="0.25">
      <c r="P605" t="str">
        <f t="shared" si="9"/>
        <v/>
      </c>
    </row>
    <row r="606" spans="16:16" x14ac:dyDescent="0.25">
      <c r="P606" t="str">
        <f t="shared" si="9"/>
        <v/>
      </c>
    </row>
    <row r="607" spans="16:16" x14ac:dyDescent="0.25">
      <c r="P607" t="str">
        <f t="shared" si="9"/>
        <v/>
      </c>
    </row>
    <row r="608" spans="16:16" x14ac:dyDescent="0.25">
      <c r="P608" t="str">
        <f t="shared" si="9"/>
        <v/>
      </c>
    </row>
    <row r="609" spans="16:16" x14ac:dyDescent="0.25">
      <c r="P609" t="str">
        <f t="shared" si="9"/>
        <v/>
      </c>
    </row>
    <row r="610" spans="16:16" x14ac:dyDescent="0.25">
      <c r="P610" t="str">
        <f t="shared" si="9"/>
        <v/>
      </c>
    </row>
    <row r="611" spans="16:16" x14ac:dyDescent="0.25">
      <c r="P611" t="str">
        <f t="shared" si="9"/>
        <v/>
      </c>
    </row>
    <row r="612" spans="16:16" x14ac:dyDescent="0.25">
      <c r="P612" t="str">
        <f t="shared" si="9"/>
        <v/>
      </c>
    </row>
    <row r="613" spans="16:16" x14ac:dyDescent="0.25">
      <c r="P613" t="str">
        <f t="shared" si="9"/>
        <v/>
      </c>
    </row>
    <row r="614" spans="16:16" x14ac:dyDescent="0.25">
      <c r="P614" t="str">
        <f t="shared" si="9"/>
        <v/>
      </c>
    </row>
    <row r="615" spans="16:16" x14ac:dyDescent="0.25">
      <c r="P615" t="str">
        <f t="shared" si="9"/>
        <v/>
      </c>
    </row>
    <row r="616" spans="16:16" x14ac:dyDescent="0.25">
      <c r="P616" t="str">
        <f t="shared" si="9"/>
        <v/>
      </c>
    </row>
    <row r="617" spans="16:16" x14ac:dyDescent="0.25">
      <c r="P617" t="str">
        <f t="shared" si="9"/>
        <v/>
      </c>
    </row>
    <row r="618" spans="16:16" x14ac:dyDescent="0.25">
      <c r="P618" t="str">
        <f t="shared" si="9"/>
        <v/>
      </c>
    </row>
    <row r="619" spans="16:16" x14ac:dyDescent="0.25">
      <c r="P619" t="str">
        <f t="shared" si="9"/>
        <v/>
      </c>
    </row>
    <row r="620" spans="16:16" x14ac:dyDescent="0.25">
      <c r="P620" t="str">
        <f t="shared" si="9"/>
        <v/>
      </c>
    </row>
    <row r="621" spans="16:16" x14ac:dyDescent="0.25">
      <c r="P621" t="str">
        <f t="shared" si="9"/>
        <v/>
      </c>
    </row>
    <row r="622" spans="16:16" x14ac:dyDescent="0.25">
      <c r="P622" t="str">
        <f t="shared" si="9"/>
        <v/>
      </c>
    </row>
    <row r="623" spans="16:16" x14ac:dyDescent="0.25">
      <c r="P623" t="str">
        <f t="shared" si="9"/>
        <v/>
      </c>
    </row>
    <row r="624" spans="16:16" x14ac:dyDescent="0.25">
      <c r="P624" t="str">
        <f t="shared" si="9"/>
        <v/>
      </c>
    </row>
    <row r="625" spans="16:16" x14ac:dyDescent="0.25">
      <c r="P625" t="str">
        <f t="shared" si="9"/>
        <v/>
      </c>
    </row>
    <row r="626" spans="16:16" x14ac:dyDescent="0.25">
      <c r="P626" t="str">
        <f t="shared" si="9"/>
        <v/>
      </c>
    </row>
    <row r="627" spans="16:16" x14ac:dyDescent="0.25">
      <c r="P627" t="str">
        <f t="shared" si="9"/>
        <v/>
      </c>
    </row>
    <row r="628" spans="16:16" x14ac:dyDescent="0.25">
      <c r="P628" t="str">
        <f t="shared" si="9"/>
        <v/>
      </c>
    </row>
    <row r="629" spans="16:16" x14ac:dyDescent="0.25">
      <c r="P629" t="str">
        <f t="shared" si="9"/>
        <v/>
      </c>
    </row>
    <row r="630" spans="16:16" x14ac:dyDescent="0.25">
      <c r="P630" t="str">
        <f t="shared" si="9"/>
        <v/>
      </c>
    </row>
    <row r="631" spans="16:16" x14ac:dyDescent="0.25">
      <c r="P631" t="str">
        <f t="shared" si="9"/>
        <v/>
      </c>
    </row>
    <row r="632" spans="16:16" x14ac:dyDescent="0.25">
      <c r="P632" t="str">
        <f t="shared" si="9"/>
        <v/>
      </c>
    </row>
    <row r="633" spans="16:16" x14ac:dyDescent="0.25">
      <c r="P633" t="str">
        <f t="shared" si="9"/>
        <v/>
      </c>
    </row>
    <row r="634" spans="16:16" x14ac:dyDescent="0.25">
      <c r="P634" t="str">
        <f t="shared" si="9"/>
        <v/>
      </c>
    </row>
    <row r="635" spans="16:16" x14ac:dyDescent="0.25">
      <c r="P635" t="str">
        <f t="shared" si="9"/>
        <v/>
      </c>
    </row>
    <row r="636" spans="16:16" x14ac:dyDescent="0.25">
      <c r="P636" t="str">
        <f t="shared" si="9"/>
        <v/>
      </c>
    </row>
    <row r="637" spans="16:16" x14ac:dyDescent="0.25">
      <c r="P637" t="str">
        <f t="shared" si="9"/>
        <v/>
      </c>
    </row>
    <row r="638" spans="16:16" x14ac:dyDescent="0.25">
      <c r="P638" t="str">
        <f t="shared" si="9"/>
        <v/>
      </c>
    </row>
    <row r="639" spans="16:16" x14ac:dyDescent="0.25">
      <c r="P639" t="str">
        <f t="shared" si="9"/>
        <v/>
      </c>
    </row>
    <row r="640" spans="16:16" x14ac:dyDescent="0.25">
      <c r="P640" t="str">
        <f t="shared" si="9"/>
        <v/>
      </c>
    </row>
    <row r="641" spans="16:16" x14ac:dyDescent="0.25">
      <c r="P641" t="str">
        <f t="shared" si="9"/>
        <v/>
      </c>
    </row>
    <row r="642" spans="16:16" x14ac:dyDescent="0.25">
      <c r="P642" t="str">
        <f t="shared" si="9"/>
        <v/>
      </c>
    </row>
    <row r="643" spans="16:16" x14ac:dyDescent="0.25">
      <c r="P643" t="str">
        <f t="shared" si="9"/>
        <v/>
      </c>
    </row>
    <row r="644" spans="16:16" x14ac:dyDescent="0.25">
      <c r="P644" t="str">
        <f t="shared" si="9"/>
        <v/>
      </c>
    </row>
    <row r="645" spans="16:16" x14ac:dyDescent="0.25">
      <c r="P645" t="str">
        <f t="shared" si="9"/>
        <v/>
      </c>
    </row>
    <row r="646" spans="16:16" x14ac:dyDescent="0.25">
      <c r="P646" t="str">
        <f t="shared" si="9"/>
        <v/>
      </c>
    </row>
    <row r="647" spans="16:16" x14ac:dyDescent="0.25">
      <c r="P647" t="str">
        <f t="shared" ref="P647:P710" si="10">IF(I647="","",SUMIFS(OrderItems_Qty,OrderItems_Type,"PURCHASE",OrderItems_SKU,I647)-SUMIFS(OrderItems_Qty,OrderItems_Type,"SALE",OrderItems_SKU,I647))</f>
        <v/>
      </c>
    </row>
    <row r="648" spans="16:16" x14ac:dyDescent="0.25">
      <c r="P648" t="str">
        <f t="shared" si="10"/>
        <v/>
      </c>
    </row>
    <row r="649" spans="16:16" x14ac:dyDescent="0.25">
      <c r="P649" t="str">
        <f t="shared" si="10"/>
        <v/>
      </c>
    </row>
    <row r="650" spans="16:16" x14ac:dyDescent="0.25">
      <c r="P650" t="str">
        <f t="shared" si="10"/>
        <v/>
      </c>
    </row>
    <row r="651" spans="16:16" x14ac:dyDescent="0.25">
      <c r="P651" t="str">
        <f t="shared" si="10"/>
        <v/>
      </c>
    </row>
    <row r="652" spans="16:16" x14ac:dyDescent="0.25">
      <c r="P652" t="str">
        <f t="shared" si="10"/>
        <v/>
      </c>
    </row>
    <row r="653" spans="16:16" x14ac:dyDescent="0.25">
      <c r="P653" t="str">
        <f t="shared" si="10"/>
        <v/>
      </c>
    </row>
    <row r="654" spans="16:16" x14ac:dyDescent="0.25">
      <c r="P654" t="str">
        <f t="shared" si="10"/>
        <v/>
      </c>
    </row>
    <row r="655" spans="16:16" x14ac:dyDescent="0.25">
      <c r="P655" t="str">
        <f t="shared" si="10"/>
        <v/>
      </c>
    </row>
    <row r="656" spans="16:16" x14ac:dyDescent="0.25">
      <c r="P656" t="str">
        <f t="shared" si="10"/>
        <v/>
      </c>
    </row>
    <row r="657" spans="16:16" x14ac:dyDescent="0.25">
      <c r="P657" t="str">
        <f t="shared" si="10"/>
        <v/>
      </c>
    </row>
    <row r="658" spans="16:16" x14ac:dyDescent="0.25">
      <c r="P658" t="str">
        <f t="shared" si="10"/>
        <v/>
      </c>
    </row>
    <row r="659" spans="16:16" x14ac:dyDescent="0.25">
      <c r="P659" t="str">
        <f t="shared" si="10"/>
        <v/>
      </c>
    </row>
    <row r="660" spans="16:16" x14ac:dyDescent="0.25">
      <c r="P660" t="str">
        <f t="shared" si="10"/>
        <v/>
      </c>
    </row>
    <row r="661" spans="16:16" x14ac:dyDescent="0.25">
      <c r="P661" t="str">
        <f t="shared" si="10"/>
        <v/>
      </c>
    </row>
    <row r="662" spans="16:16" x14ac:dyDescent="0.25">
      <c r="P662" t="str">
        <f t="shared" si="10"/>
        <v/>
      </c>
    </row>
    <row r="663" spans="16:16" x14ac:dyDescent="0.25">
      <c r="P663" t="str">
        <f t="shared" si="10"/>
        <v/>
      </c>
    </row>
    <row r="664" spans="16:16" x14ac:dyDescent="0.25">
      <c r="P664" t="str">
        <f t="shared" si="10"/>
        <v/>
      </c>
    </row>
    <row r="665" spans="16:16" x14ac:dyDescent="0.25">
      <c r="P665" t="str">
        <f t="shared" si="10"/>
        <v/>
      </c>
    </row>
    <row r="666" spans="16:16" x14ac:dyDescent="0.25">
      <c r="P666" t="str">
        <f t="shared" si="10"/>
        <v/>
      </c>
    </row>
    <row r="667" spans="16:16" x14ac:dyDescent="0.25">
      <c r="P667" t="str">
        <f t="shared" si="10"/>
        <v/>
      </c>
    </row>
    <row r="668" spans="16:16" x14ac:dyDescent="0.25">
      <c r="P668" t="str">
        <f t="shared" si="10"/>
        <v/>
      </c>
    </row>
    <row r="669" spans="16:16" x14ac:dyDescent="0.25">
      <c r="P669" t="str">
        <f t="shared" si="10"/>
        <v/>
      </c>
    </row>
    <row r="670" spans="16:16" x14ac:dyDescent="0.25">
      <c r="P670" t="str">
        <f t="shared" si="10"/>
        <v/>
      </c>
    </row>
    <row r="671" spans="16:16" x14ac:dyDescent="0.25">
      <c r="P671" t="str">
        <f t="shared" si="10"/>
        <v/>
      </c>
    </row>
    <row r="672" spans="16:16" x14ac:dyDescent="0.25">
      <c r="P672" t="str">
        <f t="shared" si="10"/>
        <v/>
      </c>
    </row>
    <row r="673" spans="16:16" x14ac:dyDescent="0.25">
      <c r="P673" t="str">
        <f t="shared" si="10"/>
        <v/>
      </c>
    </row>
    <row r="674" spans="16:16" x14ac:dyDescent="0.25">
      <c r="P674" t="str">
        <f t="shared" si="10"/>
        <v/>
      </c>
    </row>
    <row r="675" spans="16:16" x14ac:dyDescent="0.25">
      <c r="P675" t="str">
        <f t="shared" si="10"/>
        <v/>
      </c>
    </row>
    <row r="676" spans="16:16" x14ac:dyDescent="0.25">
      <c r="P676" t="str">
        <f t="shared" si="10"/>
        <v/>
      </c>
    </row>
    <row r="677" spans="16:16" x14ac:dyDescent="0.25">
      <c r="P677" t="str">
        <f t="shared" si="10"/>
        <v/>
      </c>
    </row>
    <row r="678" spans="16:16" x14ac:dyDescent="0.25">
      <c r="P678" t="str">
        <f t="shared" si="10"/>
        <v/>
      </c>
    </row>
    <row r="679" spans="16:16" x14ac:dyDescent="0.25">
      <c r="P679" t="str">
        <f t="shared" si="10"/>
        <v/>
      </c>
    </row>
    <row r="680" spans="16:16" x14ac:dyDescent="0.25">
      <c r="P680" t="str">
        <f t="shared" si="10"/>
        <v/>
      </c>
    </row>
    <row r="681" spans="16:16" x14ac:dyDescent="0.25">
      <c r="P681" t="str">
        <f t="shared" si="10"/>
        <v/>
      </c>
    </row>
    <row r="682" spans="16:16" x14ac:dyDescent="0.25">
      <c r="P682" t="str">
        <f t="shared" si="10"/>
        <v/>
      </c>
    </row>
    <row r="683" spans="16:16" x14ac:dyDescent="0.25">
      <c r="P683" t="str">
        <f t="shared" si="10"/>
        <v/>
      </c>
    </row>
    <row r="684" spans="16:16" x14ac:dyDescent="0.25">
      <c r="P684" t="str">
        <f t="shared" si="10"/>
        <v/>
      </c>
    </row>
    <row r="685" spans="16:16" x14ac:dyDescent="0.25">
      <c r="P685" t="str">
        <f t="shared" si="10"/>
        <v/>
      </c>
    </row>
    <row r="686" spans="16:16" x14ac:dyDescent="0.25">
      <c r="P686" t="str">
        <f t="shared" si="10"/>
        <v/>
      </c>
    </row>
    <row r="687" spans="16:16" x14ac:dyDescent="0.25">
      <c r="P687" t="str">
        <f t="shared" si="10"/>
        <v/>
      </c>
    </row>
    <row r="688" spans="16:16" x14ac:dyDescent="0.25">
      <c r="P688" t="str">
        <f t="shared" si="10"/>
        <v/>
      </c>
    </row>
    <row r="689" spans="16:16" x14ac:dyDescent="0.25">
      <c r="P689" t="str">
        <f t="shared" si="10"/>
        <v/>
      </c>
    </row>
    <row r="690" spans="16:16" x14ac:dyDescent="0.25">
      <c r="P690" t="str">
        <f t="shared" si="10"/>
        <v/>
      </c>
    </row>
    <row r="691" spans="16:16" x14ac:dyDescent="0.25">
      <c r="P691" t="str">
        <f t="shared" si="10"/>
        <v/>
      </c>
    </row>
    <row r="692" spans="16:16" x14ac:dyDescent="0.25">
      <c r="P692" t="str">
        <f t="shared" si="10"/>
        <v/>
      </c>
    </row>
    <row r="693" spans="16:16" x14ac:dyDescent="0.25">
      <c r="P693" t="str">
        <f t="shared" si="10"/>
        <v/>
      </c>
    </row>
    <row r="694" spans="16:16" x14ac:dyDescent="0.25">
      <c r="P694" t="str">
        <f t="shared" si="10"/>
        <v/>
      </c>
    </row>
    <row r="695" spans="16:16" x14ac:dyDescent="0.25">
      <c r="P695" t="str">
        <f t="shared" si="10"/>
        <v/>
      </c>
    </row>
    <row r="696" spans="16:16" x14ac:dyDescent="0.25">
      <c r="P696" t="str">
        <f t="shared" si="10"/>
        <v/>
      </c>
    </row>
    <row r="697" spans="16:16" x14ac:dyDescent="0.25">
      <c r="P697" t="str">
        <f t="shared" si="10"/>
        <v/>
      </c>
    </row>
    <row r="698" spans="16:16" x14ac:dyDescent="0.25">
      <c r="P698" t="str">
        <f t="shared" si="10"/>
        <v/>
      </c>
    </row>
    <row r="699" spans="16:16" x14ac:dyDescent="0.25">
      <c r="P699" t="str">
        <f t="shared" si="10"/>
        <v/>
      </c>
    </row>
    <row r="700" spans="16:16" x14ac:dyDescent="0.25">
      <c r="P700" t="str">
        <f t="shared" si="10"/>
        <v/>
      </c>
    </row>
    <row r="701" spans="16:16" x14ac:dyDescent="0.25">
      <c r="P701" t="str">
        <f t="shared" si="10"/>
        <v/>
      </c>
    </row>
    <row r="702" spans="16:16" x14ac:dyDescent="0.25">
      <c r="P702" t="str">
        <f t="shared" si="10"/>
        <v/>
      </c>
    </row>
    <row r="703" spans="16:16" x14ac:dyDescent="0.25">
      <c r="P703" t="str">
        <f t="shared" si="10"/>
        <v/>
      </c>
    </row>
    <row r="704" spans="16:16" x14ac:dyDescent="0.25">
      <c r="P704" t="str">
        <f t="shared" si="10"/>
        <v/>
      </c>
    </row>
    <row r="705" spans="16:16" x14ac:dyDescent="0.25">
      <c r="P705" t="str">
        <f t="shared" si="10"/>
        <v/>
      </c>
    </row>
    <row r="706" spans="16:16" x14ac:dyDescent="0.25">
      <c r="P706" t="str">
        <f t="shared" si="10"/>
        <v/>
      </c>
    </row>
    <row r="707" spans="16:16" x14ac:dyDescent="0.25">
      <c r="P707" t="str">
        <f t="shared" si="10"/>
        <v/>
      </c>
    </row>
    <row r="708" spans="16:16" x14ac:dyDescent="0.25">
      <c r="P708" t="str">
        <f t="shared" si="10"/>
        <v/>
      </c>
    </row>
    <row r="709" spans="16:16" x14ac:dyDescent="0.25">
      <c r="P709" t="str">
        <f t="shared" si="10"/>
        <v/>
      </c>
    </row>
    <row r="710" spans="16:16" x14ac:dyDescent="0.25">
      <c r="P710" t="str">
        <f t="shared" si="10"/>
        <v/>
      </c>
    </row>
    <row r="711" spans="16:16" x14ac:dyDescent="0.25">
      <c r="P711" t="str">
        <f t="shared" ref="P711:P774" si="11">IF(I711="","",SUMIFS(OrderItems_Qty,OrderItems_Type,"PURCHASE",OrderItems_SKU,I711)-SUMIFS(OrderItems_Qty,OrderItems_Type,"SALE",OrderItems_SKU,I711))</f>
        <v/>
      </c>
    </row>
    <row r="712" spans="16:16" x14ac:dyDescent="0.25">
      <c r="P712" t="str">
        <f t="shared" si="11"/>
        <v/>
      </c>
    </row>
    <row r="713" spans="16:16" x14ac:dyDescent="0.25">
      <c r="P713" t="str">
        <f t="shared" si="11"/>
        <v/>
      </c>
    </row>
    <row r="714" spans="16:16" x14ac:dyDescent="0.25">
      <c r="P714" t="str">
        <f t="shared" si="11"/>
        <v/>
      </c>
    </row>
    <row r="715" spans="16:16" x14ac:dyDescent="0.25">
      <c r="P715" t="str">
        <f t="shared" si="11"/>
        <v/>
      </c>
    </row>
    <row r="716" spans="16:16" x14ac:dyDescent="0.25">
      <c r="P716" t="str">
        <f t="shared" si="11"/>
        <v/>
      </c>
    </row>
    <row r="717" spans="16:16" x14ac:dyDescent="0.25">
      <c r="P717" t="str">
        <f t="shared" si="11"/>
        <v/>
      </c>
    </row>
    <row r="718" spans="16:16" x14ac:dyDescent="0.25">
      <c r="P718" t="str">
        <f t="shared" si="11"/>
        <v/>
      </c>
    </row>
    <row r="719" spans="16:16" x14ac:dyDescent="0.25">
      <c r="P719" t="str">
        <f t="shared" si="11"/>
        <v/>
      </c>
    </row>
    <row r="720" spans="16:16" x14ac:dyDescent="0.25">
      <c r="P720" t="str">
        <f t="shared" si="11"/>
        <v/>
      </c>
    </row>
    <row r="721" spans="16:16" x14ac:dyDescent="0.25">
      <c r="P721" t="str">
        <f t="shared" si="11"/>
        <v/>
      </c>
    </row>
    <row r="722" spans="16:16" x14ac:dyDescent="0.25">
      <c r="P722" t="str">
        <f t="shared" si="11"/>
        <v/>
      </c>
    </row>
    <row r="723" spans="16:16" x14ac:dyDescent="0.25">
      <c r="P723" t="str">
        <f t="shared" si="11"/>
        <v/>
      </c>
    </row>
    <row r="724" spans="16:16" x14ac:dyDescent="0.25">
      <c r="P724" t="str">
        <f t="shared" si="11"/>
        <v/>
      </c>
    </row>
    <row r="725" spans="16:16" x14ac:dyDescent="0.25">
      <c r="P725" t="str">
        <f t="shared" si="11"/>
        <v/>
      </c>
    </row>
    <row r="726" spans="16:16" x14ac:dyDescent="0.25">
      <c r="P726" t="str">
        <f t="shared" si="11"/>
        <v/>
      </c>
    </row>
    <row r="727" spans="16:16" x14ac:dyDescent="0.25">
      <c r="P727" t="str">
        <f t="shared" si="11"/>
        <v/>
      </c>
    </row>
    <row r="728" spans="16:16" x14ac:dyDescent="0.25">
      <c r="P728" t="str">
        <f t="shared" si="11"/>
        <v/>
      </c>
    </row>
    <row r="729" spans="16:16" x14ac:dyDescent="0.25">
      <c r="P729" t="str">
        <f t="shared" si="11"/>
        <v/>
      </c>
    </row>
    <row r="730" spans="16:16" x14ac:dyDescent="0.25">
      <c r="P730" t="str">
        <f t="shared" si="11"/>
        <v/>
      </c>
    </row>
    <row r="731" spans="16:16" x14ac:dyDescent="0.25">
      <c r="P731" t="str">
        <f t="shared" si="11"/>
        <v/>
      </c>
    </row>
    <row r="732" spans="16:16" x14ac:dyDescent="0.25">
      <c r="P732" t="str">
        <f t="shared" si="11"/>
        <v/>
      </c>
    </row>
    <row r="733" spans="16:16" x14ac:dyDescent="0.25">
      <c r="P733" t="str">
        <f t="shared" si="11"/>
        <v/>
      </c>
    </row>
    <row r="734" spans="16:16" x14ac:dyDescent="0.25">
      <c r="P734" t="str">
        <f t="shared" si="11"/>
        <v/>
      </c>
    </row>
    <row r="735" spans="16:16" x14ac:dyDescent="0.25">
      <c r="P735" t="str">
        <f t="shared" si="11"/>
        <v/>
      </c>
    </row>
    <row r="736" spans="16:16" x14ac:dyDescent="0.25">
      <c r="P736" t="str">
        <f t="shared" si="11"/>
        <v/>
      </c>
    </row>
    <row r="737" spans="16:16" x14ac:dyDescent="0.25">
      <c r="P737" t="str">
        <f t="shared" si="11"/>
        <v/>
      </c>
    </row>
    <row r="738" spans="16:16" x14ac:dyDescent="0.25">
      <c r="P738" t="str">
        <f t="shared" si="11"/>
        <v/>
      </c>
    </row>
    <row r="739" spans="16:16" x14ac:dyDescent="0.25">
      <c r="P739" t="str">
        <f t="shared" si="11"/>
        <v/>
      </c>
    </row>
    <row r="740" spans="16:16" x14ac:dyDescent="0.25">
      <c r="P740" t="str">
        <f t="shared" si="11"/>
        <v/>
      </c>
    </row>
    <row r="741" spans="16:16" x14ac:dyDescent="0.25">
      <c r="P741" t="str">
        <f t="shared" si="11"/>
        <v/>
      </c>
    </row>
    <row r="742" spans="16:16" x14ac:dyDescent="0.25">
      <c r="P742" t="str">
        <f t="shared" si="11"/>
        <v/>
      </c>
    </row>
    <row r="743" spans="16:16" x14ac:dyDescent="0.25">
      <c r="P743" t="str">
        <f t="shared" si="11"/>
        <v/>
      </c>
    </row>
    <row r="744" spans="16:16" x14ac:dyDescent="0.25">
      <c r="P744" t="str">
        <f t="shared" si="11"/>
        <v/>
      </c>
    </row>
    <row r="745" spans="16:16" x14ac:dyDescent="0.25">
      <c r="P745" t="str">
        <f t="shared" si="11"/>
        <v/>
      </c>
    </row>
    <row r="746" spans="16:16" x14ac:dyDescent="0.25">
      <c r="P746" t="str">
        <f t="shared" si="11"/>
        <v/>
      </c>
    </row>
    <row r="747" spans="16:16" x14ac:dyDescent="0.25">
      <c r="P747" t="str">
        <f t="shared" si="11"/>
        <v/>
      </c>
    </row>
    <row r="748" spans="16:16" x14ac:dyDescent="0.25">
      <c r="P748" t="str">
        <f t="shared" si="11"/>
        <v/>
      </c>
    </row>
    <row r="749" spans="16:16" x14ac:dyDescent="0.25">
      <c r="P749" t="str">
        <f t="shared" si="11"/>
        <v/>
      </c>
    </row>
    <row r="750" spans="16:16" x14ac:dyDescent="0.25">
      <c r="P750" t="str">
        <f t="shared" si="11"/>
        <v/>
      </c>
    </row>
    <row r="751" spans="16:16" x14ac:dyDescent="0.25">
      <c r="P751" t="str">
        <f t="shared" si="11"/>
        <v/>
      </c>
    </row>
    <row r="752" spans="16:16" x14ac:dyDescent="0.25">
      <c r="P752" t="str">
        <f t="shared" si="11"/>
        <v/>
      </c>
    </row>
    <row r="753" spans="16:16" x14ac:dyDescent="0.25">
      <c r="P753" t="str">
        <f t="shared" si="11"/>
        <v/>
      </c>
    </row>
    <row r="754" spans="16:16" x14ac:dyDescent="0.25">
      <c r="P754" t="str">
        <f t="shared" si="11"/>
        <v/>
      </c>
    </row>
    <row r="755" spans="16:16" x14ac:dyDescent="0.25">
      <c r="P755" t="str">
        <f t="shared" si="11"/>
        <v/>
      </c>
    </row>
    <row r="756" spans="16:16" x14ac:dyDescent="0.25">
      <c r="P756" t="str">
        <f t="shared" si="11"/>
        <v/>
      </c>
    </row>
    <row r="757" spans="16:16" x14ac:dyDescent="0.25">
      <c r="P757" t="str">
        <f t="shared" si="11"/>
        <v/>
      </c>
    </row>
    <row r="758" spans="16:16" x14ac:dyDescent="0.25">
      <c r="P758" t="str">
        <f t="shared" si="11"/>
        <v/>
      </c>
    </row>
    <row r="759" spans="16:16" x14ac:dyDescent="0.25">
      <c r="P759" t="str">
        <f t="shared" si="11"/>
        <v/>
      </c>
    </row>
    <row r="760" spans="16:16" x14ac:dyDescent="0.25">
      <c r="P760" t="str">
        <f t="shared" si="11"/>
        <v/>
      </c>
    </row>
    <row r="761" spans="16:16" x14ac:dyDescent="0.25">
      <c r="P761" t="str">
        <f t="shared" si="11"/>
        <v/>
      </c>
    </row>
    <row r="762" spans="16:16" x14ac:dyDescent="0.25">
      <c r="P762" t="str">
        <f t="shared" si="11"/>
        <v/>
      </c>
    </row>
    <row r="763" spans="16:16" x14ac:dyDescent="0.25">
      <c r="P763" t="str">
        <f t="shared" si="11"/>
        <v/>
      </c>
    </row>
    <row r="764" spans="16:16" x14ac:dyDescent="0.25">
      <c r="P764" t="str">
        <f t="shared" si="11"/>
        <v/>
      </c>
    </row>
    <row r="765" spans="16:16" x14ac:dyDescent="0.25">
      <c r="P765" t="str">
        <f t="shared" si="11"/>
        <v/>
      </c>
    </row>
    <row r="766" spans="16:16" x14ac:dyDescent="0.25">
      <c r="P766" t="str">
        <f t="shared" si="11"/>
        <v/>
      </c>
    </row>
    <row r="767" spans="16:16" x14ac:dyDescent="0.25">
      <c r="P767" t="str">
        <f t="shared" si="11"/>
        <v/>
      </c>
    </row>
    <row r="768" spans="16:16" x14ac:dyDescent="0.25">
      <c r="P768" t="str">
        <f t="shared" si="11"/>
        <v/>
      </c>
    </row>
    <row r="769" spans="16:16" x14ac:dyDescent="0.25">
      <c r="P769" t="str">
        <f t="shared" si="11"/>
        <v/>
      </c>
    </row>
    <row r="770" spans="16:16" x14ac:dyDescent="0.25">
      <c r="P770" t="str">
        <f t="shared" si="11"/>
        <v/>
      </c>
    </row>
    <row r="771" spans="16:16" x14ac:dyDescent="0.25">
      <c r="P771" t="str">
        <f t="shared" si="11"/>
        <v/>
      </c>
    </row>
    <row r="772" spans="16:16" x14ac:dyDescent="0.25">
      <c r="P772" t="str">
        <f t="shared" si="11"/>
        <v/>
      </c>
    </row>
    <row r="773" spans="16:16" x14ac:dyDescent="0.25">
      <c r="P773" t="str">
        <f t="shared" si="11"/>
        <v/>
      </c>
    </row>
    <row r="774" spans="16:16" x14ac:dyDescent="0.25">
      <c r="P774" t="str">
        <f t="shared" si="11"/>
        <v/>
      </c>
    </row>
    <row r="775" spans="16:16" x14ac:dyDescent="0.25">
      <c r="P775" t="str">
        <f t="shared" ref="P775:P838" si="12">IF(I775="","",SUMIFS(OrderItems_Qty,OrderItems_Type,"PURCHASE",OrderItems_SKU,I775)-SUMIFS(OrderItems_Qty,OrderItems_Type,"SALE",OrderItems_SKU,I775))</f>
        <v/>
      </c>
    </row>
    <row r="776" spans="16:16" x14ac:dyDescent="0.25">
      <c r="P776" t="str">
        <f t="shared" si="12"/>
        <v/>
      </c>
    </row>
    <row r="777" spans="16:16" x14ac:dyDescent="0.25">
      <c r="P777" t="str">
        <f t="shared" si="12"/>
        <v/>
      </c>
    </row>
    <row r="778" spans="16:16" x14ac:dyDescent="0.25">
      <c r="P778" t="str">
        <f t="shared" si="12"/>
        <v/>
      </c>
    </row>
    <row r="779" spans="16:16" x14ac:dyDescent="0.25">
      <c r="P779" t="str">
        <f t="shared" si="12"/>
        <v/>
      </c>
    </row>
    <row r="780" spans="16:16" x14ac:dyDescent="0.25">
      <c r="P780" t="str">
        <f t="shared" si="12"/>
        <v/>
      </c>
    </row>
    <row r="781" spans="16:16" x14ac:dyDescent="0.25">
      <c r="P781" t="str">
        <f t="shared" si="12"/>
        <v/>
      </c>
    </row>
    <row r="782" spans="16:16" x14ac:dyDescent="0.25">
      <c r="P782" t="str">
        <f t="shared" si="12"/>
        <v/>
      </c>
    </row>
    <row r="783" spans="16:16" x14ac:dyDescent="0.25">
      <c r="P783" t="str">
        <f t="shared" si="12"/>
        <v/>
      </c>
    </row>
    <row r="784" spans="16:16" x14ac:dyDescent="0.25">
      <c r="P784" t="str">
        <f t="shared" si="12"/>
        <v/>
      </c>
    </row>
    <row r="785" spans="16:16" x14ac:dyDescent="0.25">
      <c r="P785" t="str">
        <f t="shared" si="12"/>
        <v/>
      </c>
    </row>
    <row r="786" spans="16:16" x14ac:dyDescent="0.25">
      <c r="P786" t="str">
        <f t="shared" si="12"/>
        <v/>
      </c>
    </row>
    <row r="787" spans="16:16" x14ac:dyDescent="0.25">
      <c r="P787" t="str">
        <f t="shared" si="12"/>
        <v/>
      </c>
    </row>
    <row r="788" spans="16:16" x14ac:dyDescent="0.25">
      <c r="P788" t="str">
        <f t="shared" si="12"/>
        <v/>
      </c>
    </row>
    <row r="789" spans="16:16" x14ac:dyDescent="0.25">
      <c r="P789" t="str">
        <f t="shared" si="12"/>
        <v/>
      </c>
    </row>
    <row r="790" spans="16:16" x14ac:dyDescent="0.25">
      <c r="P790" t="str">
        <f t="shared" si="12"/>
        <v/>
      </c>
    </row>
    <row r="791" spans="16:16" x14ac:dyDescent="0.25">
      <c r="P791" t="str">
        <f t="shared" si="12"/>
        <v/>
      </c>
    </row>
    <row r="792" spans="16:16" x14ac:dyDescent="0.25">
      <c r="P792" t="str">
        <f t="shared" si="12"/>
        <v/>
      </c>
    </row>
    <row r="793" spans="16:16" x14ac:dyDescent="0.25">
      <c r="P793" t="str">
        <f t="shared" si="12"/>
        <v/>
      </c>
    </row>
    <row r="794" spans="16:16" x14ac:dyDescent="0.25">
      <c r="P794" t="str">
        <f t="shared" si="12"/>
        <v/>
      </c>
    </row>
    <row r="795" spans="16:16" x14ac:dyDescent="0.25">
      <c r="P795" t="str">
        <f t="shared" si="12"/>
        <v/>
      </c>
    </row>
    <row r="796" spans="16:16" x14ac:dyDescent="0.25">
      <c r="P796" t="str">
        <f t="shared" si="12"/>
        <v/>
      </c>
    </row>
    <row r="797" spans="16:16" x14ac:dyDescent="0.25">
      <c r="P797" t="str">
        <f t="shared" si="12"/>
        <v/>
      </c>
    </row>
    <row r="798" spans="16:16" x14ac:dyDescent="0.25">
      <c r="P798" t="str">
        <f t="shared" si="12"/>
        <v/>
      </c>
    </row>
    <row r="799" spans="16:16" x14ac:dyDescent="0.25">
      <c r="P799" t="str">
        <f t="shared" si="12"/>
        <v/>
      </c>
    </row>
    <row r="800" spans="16:16" x14ac:dyDescent="0.25">
      <c r="P800" t="str">
        <f t="shared" si="12"/>
        <v/>
      </c>
    </row>
    <row r="801" spans="16:16" x14ac:dyDescent="0.25">
      <c r="P801" t="str">
        <f t="shared" si="12"/>
        <v/>
      </c>
    </row>
    <row r="802" spans="16:16" x14ac:dyDescent="0.25">
      <c r="P802" t="str">
        <f t="shared" si="12"/>
        <v/>
      </c>
    </row>
    <row r="803" spans="16:16" x14ac:dyDescent="0.25">
      <c r="P803" t="str">
        <f t="shared" si="12"/>
        <v/>
      </c>
    </row>
    <row r="804" spans="16:16" x14ac:dyDescent="0.25">
      <c r="P804" t="str">
        <f t="shared" si="12"/>
        <v/>
      </c>
    </row>
    <row r="805" spans="16:16" x14ac:dyDescent="0.25">
      <c r="P805" t="str">
        <f t="shared" si="12"/>
        <v/>
      </c>
    </row>
    <row r="806" spans="16:16" x14ac:dyDescent="0.25">
      <c r="P806" t="str">
        <f t="shared" si="12"/>
        <v/>
      </c>
    </row>
    <row r="807" spans="16:16" x14ac:dyDescent="0.25">
      <c r="P807" t="str">
        <f t="shared" si="12"/>
        <v/>
      </c>
    </row>
    <row r="808" spans="16:16" x14ac:dyDescent="0.25">
      <c r="P808" t="str">
        <f t="shared" si="12"/>
        <v/>
      </c>
    </row>
    <row r="809" spans="16:16" x14ac:dyDescent="0.25">
      <c r="P809" t="str">
        <f t="shared" si="12"/>
        <v/>
      </c>
    </row>
    <row r="810" spans="16:16" x14ac:dyDescent="0.25">
      <c r="P810" t="str">
        <f t="shared" si="12"/>
        <v/>
      </c>
    </row>
    <row r="811" spans="16:16" x14ac:dyDescent="0.25">
      <c r="P811" t="str">
        <f t="shared" si="12"/>
        <v/>
      </c>
    </row>
    <row r="812" spans="16:16" x14ac:dyDescent="0.25">
      <c r="P812" t="str">
        <f t="shared" si="12"/>
        <v/>
      </c>
    </row>
    <row r="813" spans="16:16" x14ac:dyDescent="0.25">
      <c r="P813" t="str">
        <f t="shared" si="12"/>
        <v/>
      </c>
    </row>
    <row r="814" spans="16:16" x14ac:dyDescent="0.25">
      <c r="P814" t="str">
        <f t="shared" si="12"/>
        <v/>
      </c>
    </row>
    <row r="815" spans="16:16" x14ac:dyDescent="0.25">
      <c r="P815" t="str">
        <f t="shared" si="12"/>
        <v/>
      </c>
    </row>
    <row r="816" spans="16:16" x14ac:dyDescent="0.25">
      <c r="P816" t="str">
        <f t="shared" si="12"/>
        <v/>
      </c>
    </row>
    <row r="817" spans="16:16" x14ac:dyDescent="0.25">
      <c r="P817" t="str">
        <f t="shared" si="12"/>
        <v/>
      </c>
    </row>
    <row r="818" spans="16:16" x14ac:dyDescent="0.25">
      <c r="P818" t="str">
        <f t="shared" si="12"/>
        <v/>
      </c>
    </row>
    <row r="819" spans="16:16" x14ac:dyDescent="0.25">
      <c r="P819" t="str">
        <f t="shared" si="12"/>
        <v/>
      </c>
    </row>
    <row r="820" spans="16:16" x14ac:dyDescent="0.25">
      <c r="P820" t="str">
        <f t="shared" si="12"/>
        <v/>
      </c>
    </row>
    <row r="821" spans="16:16" x14ac:dyDescent="0.25">
      <c r="P821" t="str">
        <f t="shared" si="12"/>
        <v/>
      </c>
    </row>
    <row r="822" spans="16:16" x14ac:dyDescent="0.25">
      <c r="P822" t="str">
        <f t="shared" si="12"/>
        <v/>
      </c>
    </row>
    <row r="823" spans="16:16" x14ac:dyDescent="0.25">
      <c r="P823" t="str">
        <f t="shared" si="12"/>
        <v/>
      </c>
    </row>
    <row r="824" spans="16:16" x14ac:dyDescent="0.25">
      <c r="P824" t="str">
        <f t="shared" si="12"/>
        <v/>
      </c>
    </row>
    <row r="825" spans="16:16" x14ac:dyDescent="0.25">
      <c r="P825" t="str">
        <f t="shared" si="12"/>
        <v/>
      </c>
    </row>
    <row r="826" spans="16:16" x14ac:dyDescent="0.25">
      <c r="P826" t="str">
        <f t="shared" si="12"/>
        <v/>
      </c>
    </row>
    <row r="827" spans="16:16" x14ac:dyDescent="0.25">
      <c r="P827" t="str">
        <f t="shared" si="12"/>
        <v/>
      </c>
    </row>
    <row r="828" spans="16:16" x14ac:dyDescent="0.25">
      <c r="P828" t="str">
        <f t="shared" si="12"/>
        <v/>
      </c>
    </row>
    <row r="829" spans="16:16" x14ac:dyDescent="0.25">
      <c r="P829" t="str">
        <f t="shared" si="12"/>
        <v/>
      </c>
    </row>
    <row r="830" spans="16:16" x14ac:dyDescent="0.25">
      <c r="P830" t="str">
        <f t="shared" si="12"/>
        <v/>
      </c>
    </row>
    <row r="831" spans="16:16" x14ac:dyDescent="0.25">
      <c r="P831" t="str">
        <f t="shared" si="12"/>
        <v/>
      </c>
    </row>
    <row r="832" spans="16:16" x14ac:dyDescent="0.25">
      <c r="P832" t="str">
        <f t="shared" si="12"/>
        <v/>
      </c>
    </row>
    <row r="833" spans="16:16" x14ac:dyDescent="0.25">
      <c r="P833" t="str">
        <f t="shared" si="12"/>
        <v/>
      </c>
    </row>
    <row r="834" spans="16:16" x14ac:dyDescent="0.25">
      <c r="P834" t="str">
        <f t="shared" si="12"/>
        <v/>
      </c>
    </row>
    <row r="835" spans="16:16" x14ac:dyDescent="0.25">
      <c r="P835" t="str">
        <f t="shared" si="12"/>
        <v/>
      </c>
    </row>
    <row r="836" spans="16:16" x14ac:dyDescent="0.25">
      <c r="P836" t="str">
        <f t="shared" si="12"/>
        <v/>
      </c>
    </row>
    <row r="837" spans="16:16" x14ac:dyDescent="0.25">
      <c r="P837" t="str">
        <f t="shared" si="12"/>
        <v/>
      </c>
    </row>
    <row r="838" spans="16:16" x14ac:dyDescent="0.25">
      <c r="P838" t="str">
        <f t="shared" si="12"/>
        <v/>
      </c>
    </row>
    <row r="839" spans="16:16" x14ac:dyDescent="0.25">
      <c r="P839" t="str">
        <f t="shared" ref="P839:P902" si="13">IF(I839="","",SUMIFS(OrderItems_Qty,OrderItems_Type,"PURCHASE",OrderItems_SKU,I839)-SUMIFS(OrderItems_Qty,OrderItems_Type,"SALE",OrderItems_SKU,I839))</f>
        <v/>
      </c>
    </row>
    <row r="840" spans="16:16" x14ac:dyDescent="0.25">
      <c r="P840" t="str">
        <f t="shared" si="13"/>
        <v/>
      </c>
    </row>
    <row r="841" spans="16:16" x14ac:dyDescent="0.25">
      <c r="P841" t="str">
        <f t="shared" si="13"/>
        <v/>
      </c>
    </row>
    <row r="842" spans="16:16" x14ac:dyDescent="0.25">
      <c r="P842" t="str">
        <f t="shared" si="13"/>
        <v/>
      </c>
    </row>
    <row r="843" spans="16:16" x14ac:dyDescent="0.25">
      <c r="P843" t="str">
        <f t="shared" si="13"/>
        <v/>
      </c>
    </row>
    <row r="844" spans="16:16" x14ac:dyDescent="0.25">
      <c r="P844" t="str">
        <f t="shared" si="13"/>
        <v/>
      </c>
    </row>
    <row r="845" spans="16:16" x14ac:dyDescent="0.25">
      <c r="P845" t="str">
        <f t="shared" si="13"/>
        <v/>
      </c>
    </row>
    <row r="846" spans="16:16" x14ac:dyDescent="0.25">
      <c r="P846" t="str">
        <f t="shared" si="13"/>
        <v/>
      </c>
    </row>
    <row r="847" spans="16:16" x14ac:dyDescent="0.25">
      <c r="P847" t="str">
        <f t="shared" si="13"/>
        <v/>
      </c>
    </row>
    <row r="848" spans="16:16" x14ac:dyDescent="0.25">
      <c r="P848" t="str">
        <f t="shared" si="13"/>
        <v/>
      </c>
    </row>
    <row r="849" spans="16:16" x14ac:dyDescent="0.25">
      <c r="P849" t="str">
        <f t="shared" si="13"/>
        <v/>
      </c>
    </row>
    <row r="850" spans="16:16" x14ac:dyDescent="0.25">
      <c r="P850" t="str">
        <f t="shared" si="13"/>
        <v/>
      </c>
    </row>
    <row r="851" spans="16:16" x14ac:dyDescent="0.25">
      <c r="P851" t="str">
        <f t="shared" si="13"/>
        <v/>
      </c>
    </row>
    <row r="852" spans="16:16" x14ac:dyDescent="0.25">
      <c r="P852" t="str">
        <f t="shared" si="13"/>
        <v/>
      </c>
    </row>
    <row r="853" spans="16:16" x14ac:dyDescent="0.25">
      <c r="P853" t="str">
        <f t="shared" si="13"/>
        <v/>
      </c>
    </row>
    <row r="854" spans="16:16" x14ac:dyDescent="0.25">
      <c r="P854" t="str">
        <f t="shared" si="13"/>
        <v/>
      </c>
    </row>
    <row r="855" spans="16:16" x14ac:dyDescent="0.25">
      <c r="P855" t="str">
        <f t="shared" si="13"/>
        <v/>
      </c>
    </row>
    <row r="856" spans="16:16" x14ac:dyDescent="0.25">
      <c r="P856" t="str">
        <f t="shared" si="13"/>
        <v/>
      </c>
    </row>
    <row r="857" spans="16:16" x14ac:dyDescent="0.25">
      <c r="P857" t="str">
        <f t="shared" si="13"/>
        <v/>
      </c>
    </row>
    <row r="858" spans="16:16" x14ac:dyDescent="0.25">
      <c r="P858" t="str">
        <f t="shared" si="13"/>
        <v/>
      </c>
    </row>
    <row r="859" spans="16:16" x14ac:dyDescent="0.25">
      <c r="P859" t="str">
        <f t="shared" si="13"/>
        <v/>
      </c>
    </row>
    <row r="860" spans="16:16" x14ac:dyDescent="0.25">
      <c r="P860" t="str">
        <f t="shared" si="13"/>
        <v/>
      </c>
    </row>
    <row r="861" spans="16:16" x14ac:dyDescent="0.25">
      <c r="P861" t="str">
        <f t="shared" si="13"/>
        <v/>
      </c>
    </row>
    <row r="862" spans="16:16" x14ac:dyDescent="0.25">
      <c r="P862" t="str">
        <f t="shared" si="13"/>
        <v/>
      </c>
    </row>
    <row r="863" spans="16:16" x14ac:dyDescent="0.25">
      <c r="P863" t="str">
        <f t="shared" si="13"/>
        <v/>
      </c>
    </row>
    <row r="864" spans="16:16" x14ac:dyDescent="0.25">
      <c r="P864" t="str">
        <f t="shared" si="13"/>
        <v/>
      </c>
    </row>
    <row r="865" spans="16:16" x14ac:dyDescent="0.25">
      <c r="P865" t="str">
        <f t="shared" si="13"/>
        <v/>
      </c>
    </row>
    <row r="866" spans="16:16" x14ac:dyDescent="0.25">
      <c r="P866" t="str">
        <f t="shared" si="13"/>
        <v/>
      </c>
    </row>
    <row r="867" spans="16:16" x14ac:dyDescent="0.25">
      <c r="P867" t="str">
        <f t="shared" si="13"/>
        <v/>
      </c>
    </row>
    <row r="868" spans="16:16" x14ac:dyDescent="0.25">
      <c r="P868" t="str">
        <f t="shared" si="13"/>
        <v/>
      </c>
    </row>
    <row r="869" spans="16:16" x14ac:dyDescent="0.25">
      <c r="P869" t="str">
        <f t="shared" si="13"/>
        <v/>
      </c>
    </row>
    <row r="870" spans="16:16" x14ac:dyDescent="0.25">
      <c r="P870" t="str">
        <f t="shared" si="13"/>
        <v/>
      </c>
    </row>
    <row r="871" spans="16:16" x14ac:dyDescent="0.25">
      <c r="P871" t="str">
        <f t="shared" si="13"/>
        <v/>
      </c>
    </row>
    <row r="872" spans="16:16" x14ac:dyDescent="0.25">
      <c r="P872" t="str">
        <f t="shared" si="13"/>
        <v/>
      </c>
    </row>
    <row r="873" spans="16:16" x14ac:dyDescent="0.25">
      <c r="P873" t="str">
        <f t="shared" si="13"/>
        <v/>
      </c>
    </row>
    <row r="874" spans="16:16" x14ac:dyDescent="0.25">
      <c r="P874" t="str">
        <f t="shared" si="13"/>
        <v/>
      </c>
    </row>
    <row r="875" spans="16:16" x14ac:dyDescent="0.25">
      <c r="P875" t="str">
        <f t="shared" si="13"/>
        <v/>
      </c>
    </row>
    <row r="876" spans="16:16" x14ac:dyDescent="0.25">
      <c r="P876" t="str">
        <f t="shared" si="13"/>
        <v/>
      </c>
    </row>
    <row r="877" spans="16:16" x14ac:dyDescent="0.25">
      <c r="P877" t="str">
        <f t="shared" si="13"/>
        <v/>
      </c>
    </row>
    <row r="878" spans="16:16" x14ac:dyDescent="0.25">
      <c r="P878" t="str">
        <f t="shared" si="13"/>
        <v/>
      </c>
    </row>
    <row r="879" spans="16:16" x14ac:dyDescent="0.25">
      <c r="P879" t="str">
        <f t="shared" si="13"/>
        <v/>
      </c>
    </row>
    <row r="880" spans="16:16" x14ac:dyDescent="0.25">
      <c r="P880" t="str">
        <f t="shared" si="13"/>
        <v/>
      </c>
    </row>
    <row r="881" spans="16:16" x14ac:dyDescent="0.25">
      <c r="P881" t="str">
        <f t="shared" si="13"/>
        <v/>
      </c>
    </row>
    <row r="882" spans="16:16" x14ac:dyDescent="0.25">
      <c r="P882" t="str">
        <f t="shared" si="13"/>
        <v/>
      </c>
    </row>
    <row r="883" spans="16:16" x14ac:dyDescent="0.25">
      <c r="P883" t="str">
        <f t="shared" si="13"/>
        <v/>
      </c>
    </row>
    <row r="884" spans="16:16" x14ac:dyDescent="0.25">
      <c r="P884" t="str">
        <f t="shared" si="13"/>
        <v/>
      </c>
    </row>
    <row r="885" spans="16:16" x14ac:dyDescent="0.25">
      <c r="P885" t="str">
        <f t="shared" si="13"/>
        <v/>
      </c>
    </row>
    <row r="886" spans="16:16" x14ac:dyDescent="0.25">
      <c r="P886" t="str">
        <f t="shared" si="13"/>
        <v/>
      </c>
    </row>
    <row r="887" spans="16:16" x14ac:dyDescent="0.25">
      <c r="P887" t="str">
        <f t="shared" si="13"/>
        <v/>
      </c>
    </row>
    <row r="888" spans="16:16" x14ac:dyDescent="0.25">
      <c r="P888" t="str">
        <f t="shared" si="13"/>
        <v/>
      </c>
    </row>
    <row r="889" spans="16:16" x14ac:dyDescent="0.25">
      <c r="P889" t="str">
        <f t="shared" si="13"/>
        <v/>
      </c>
    </row>
    <row r="890" spans="16:16" x14ac:dyDescent="0.25">
      <c r="P890" t="str">
        <f t="shared" si="13"/>
        <v/>
      </c>
    </row>
    <row r="891" spans="16:16" x14ac:dyDescent="0.25">
      <c r="P891" t="str">
        <f t="shared" si="13"/>
        <v/>
      </c>
    </row>
    <row r="892" spans="16:16" x14ac:dyDescent="0.25">
      <c r="P892" t="str">
        <f t="shared" si="13"/>
        <v/>
      </c>
    </row>
    <row r="893" spans="16:16" x14ac:dyDescent="0.25">
      <c r="P893" t="str">
        <f t="shared" si="13"/>
        <v/>
      </c>
    </row>
    <row r="894" spans="16:16" x14ac:dyDescent="0.25">
      <c r="P894" t="str">
        <f t="shared" si="13"/>
        <v/>
      </c>
    </row>
    <row r="895" spans="16:16" x14ac:dyDescent="0.25">
      <c r="P895" t="str">
        <f t="shared" si="13"/>
        <v/>
      </c>
    </row>
    <row r="896" spans="16:16" x14ac:dyDescent="0.25">
      <c r="P896" t="str">
        <f t="shared" si="13"/>
        <v/>
      </c>
    </row>
    <row r="897" spans="16:16" x14ac:dyDescent="0.25">
      <c r="P897" t="str">
        <f t="shared" si="13"/>
        <v/>
      </c>
    </row>
    <row r="898" spans="16:16" x14ac:dyDescent="0.25">
      <c r="P898" t="str">
        <f t="shared" si="13"/>
        <v/>
      </c>
    </row>
    <row r="899" spans="16:16" x14ac:dyDescent="0.25">
      <c r="P899" t="str">
        <f t="shared" si="13"/>
        <v/>
      </c>
    </row>
    <row r="900" spans="16:16" x14ac:dyDescent="0.25">
      <c r="P900" t="str">
        <f t="shared" si="13"/>
        <v/>
      </c>
    </row>
    <row r="901" spans="16:16" x14ac:dyDescent="0.25">
      <c r="P901" t="str">
        <f t="shared" si="13"/>
        <v/>
      </c>
    </row>
    <row r="902" spans="16:16" x14ac:dyDescent="0.25">
      <c r="P902" t="str">
        <f t="shared" si="13"/>
        <v/>
      </c>
    </row>
    <row r="903" spans="16:16" x14ac:dyDescent="0.25">
      <c r="P903" t="str">
        <f t="shared" ref="P903:P966" si="14">IF(I903="","",SUMIFS(OrderItems_Qty,OrderItems_Type,"PURCHASE",OrderItems_SKU,I903)-SUMIFS(OrderItems_Qty,OrderItems_Type,"SALE",OrderItems_SKU,I903))</f>
        <v/>
      </c>
    </row>
    <row r="904" spans="16:16" x14ac:dyDescent="0.25">
      <c r="P904" t="str">
        <f t="shared" si="14"/>
        <v/>
      </c>
    </row>
    <row r="905" spans="16:16" x14ac:dyDescent="0.25">
      <c r="P905" t="str">
        <f t="shared" si="14"/>
        <v/>
      </c>
    </row>
    <row r="906" spans="16:16" x14ac:dyDescent="0.25">
      <c r="P906" t="str">
        <f t="shared" si="14"/>
        <v/>
      </c>
    </row>
    <row r="907" spans="16:16" x14ac:dyDescent="0.25">
      <c r="P907" t="str">
        <f t="shared" si="14"/>
        <v/>
      </c>
    </row>
    <row r="908" spans="16:16" x14ac:dyDescent="0.25">
      <c r="P908" t="str">
        <f t="shared" si="14"/>
        <v/>
      </c>
    </row>
    <row r="909" spans="16:16" x14ac:dyDescent="0.25">
      <c r="P909" t="str">
        <f t="shared" si="14"/>
        <v/>
      </c>
    </row>
    <row r="910" spans="16:16" x14ac:dyDescent="0.25">
      <c r="P910" t="str">
        <f t="shared" si="14"/>
        <v/>
      </c>
    </row>
    <row r="911" spans="16:16" x14ac:dyDescent="0.25">
      <c r="P911" t="str">
        <f t="shared" si="14"/>
        <v/>
      </c>
    </row>
    <row r="912" spans="16:16" x14ac:dyDescent="0.25">
      <c r="P912" t="str">
        <f t="shared" si="14"/>
        <v/>
      </c>
    </row>
    <row r="913" spans="16:16" x14ac:dyDescent="0.25">
      <c r="P913" t="str">
        <f t="shared" si="14"/>
        <v/>
      </c>
    </row>
    <row r="914" spans="16:16" x14ac:dyDescent="0.25">
      <c r="P914" t="str">
        <f t="shared" si="14"/>
        <v/>
      </c>
    </row>
    <row r="915" spans="16:16" x14ac:dyDescent="0.25">
      <c r="P915" t="str">
        <f t="shared" si="14"/>
        <v/>
      </c>
    </row>
    <row r="916" spans="16:16" x14ac:dyDescent="0.25">
      <c r="P916" t="str">
        <f t="shared" si="14"/>
        <v/>
      </c>
    </row>
    <row r="917" spans="16:16" x14ac:dyDescent="0.25">
      <c r="P917" t="str">
        <f t="shared" si="14"/>
        <v/>
      </c>
    </row>
    <row r="918" spans="16:16" x14ac:dyDescent="0.25">
      <c r="P918" t="str">
        <f t="shared" si="14"/>
        <v/>
      </c>
    </row>
    <row r="919" spans="16:16" x14ac:dyDescent="0.25">
      <c r="P919" t="str">
        <f t="shared" si="14"/>
        <v/>
      </c>
    </row>
    <row r="920" spans="16:16" x14ac:dyDescent="0.25">
      <c r="P920" t="str">
        <f t="shared" si="14"/>
        <v/>
      </c>
    </row>
    <row r="921" spans="16:16" x14ac:dyDescent="0.25">
      <c r="P921" t="str">
        <f t="shared" si="14"/>
        <v/>
      </c>
    </row>
    <row r="922" spans="16:16" x14ac:dyDescent="0.25">
      <c r="P922" t="str">
        <f t="shared" si="14"/>
        <v/>
      </c>
    </row>
    <row r="923" spans="16:16" x14ac:dyDescent="0.25">
      <c r="P923" t="str">
        <f t="shared" si="14"/>
        <v/>
      </c>
    </row>
    <row r="924" spans="16:16" x14ac:dyDescent="0.25">
      <c r="P924" t="str">
        <f t="shared" si="14"/>
        <v/>
      </c>
    </row>
    <row r="925" spans="16:16" x14ac:dyDescent="0.25">
      <c r="P925" t="str">
        <f t="shared" si="14"/>
        <v/>
      </c>
    </row>
    <row r="926" spans="16:16" x14ac:dyDescent="0.25">
      <c r="P926" t="str">
        <f t="shared" si="14"/>
        <v/>
      </c>
    </row>
    <row r="927" spans="16:16" x14ac:dyDescent="0.25">
      <c r="P927" t="str">
        <f t="shared" si="14"/>
        <v/>
      </c>
    </row>
    <row r="928" spans="16:16" x14ac:dyDescent="0.25">
      <c r="P928" t="str">
        <f t="shared" si="14"/>
        <v/>
      </c>
    </row>
    <row r="929" spans="16:16" x14ac:dyDescent="0.25">
      <c r="P929" t="str">
        <f t="shared" si="14"/>
        <v/>
      </c>
    </row>
    <row r="930" spans="16:16" x14ac:dyDescent="0.25">
      <c r="P930" t="str">
        <f t="shared" si="14"/>
        <v/>
      </c>
    </row>
    <row r="931" spans="16:16" x14ac:dyDescent="0.25">
      <c r="P931" t="str">
        <f t="shared" si="14"/>
        <v/>
      </c>
    </row>
    <row r="932" spans="16:16" x14ac:dyDescent="0.25">
      <c r="P932" t="str">
        <f t="shared" si="14"/>
        <v/>
      </c>
    </row>
    <row r="933" spans="16:16" x14ac:dyDescent="0.25">
      <c r="P933" t="str">
        <f t="shared" si="14"/>
        <v/>
      </c>
    </row>
    <row r="934" spans="16:16" x14ac:dyDescent="0.25">
      <c r="P934" t="str">
        <f t="shared" si="14"/>
        <v/>
      </c>
    </row>
    <row r="935" spans="16:16" x14ac:dyDescent="0.25">
      <c r="P935" t="str">
        <f t="shared" si="14"/>
        <v/>
      </c>
    </row>
    <row r="936" spans="16:16" x14ac:dyDescent="0.25">
      <c r="P936" t="str">
        <f t="shared" si="14"/>
        <v/>
      </c>
    </row>
    <row r="937" spans="16:16" x14ac:dyDescent="0.25">
      <c r="P937" t="str">
        <f t="shared" si="14"/>
        <v/>
      </c>
    </row>
    <row r="938" spans="16:16" x14ac:dyDescent="0.25">
      <c r="P938" t="str">
        <f t="shared" si="14"/>
        <v/>
      </c>
    </row>
    <row r="939" spans="16:16" x14ac:dyDescent="0.25">
      <c r="P939" t="str">
        <f t="shared" si="14"/>
        <v/>
      </c>
    </row>
    <row r="940" spans="16:16" x14ac:dyDescent="0.25">
      <c r="P940" t="str">
        <f t="shared" si="14"/>
        <v/>
      </c>
    </row>
    <row r="941" spans="16:16" x14ac:dyDescent="0.25">
      <c r="P941" t="str">
        <f t="shared" si="14"/>
        <v/>
      </c>
    </row>
    <row r="942" spans="16:16" x14ac:dyDescent="0.25">
      <c r="P942" t="str">
        <f t="shared" si="14"/>
        <v/>
      </c>
    </row>
    <row r="943" spans="16:16" x14ac:dyDescent="0.25">
      <c r="P943" t="str">
        <f t="shared" si="14"/>
        <v/>
      </c>
    </row>
    <row r="944" spans="16:16" x14ac:dyDescent="0.25">
      <c r="P944" t="str">
        <f t="shared" si="14"/>
        <v/>
      </c>
    </row>
    <row r="945" spans="16:16" x14ac:dyDescent="0.25">
      <c r="P945" t="str">
        <f t="shared" si="14"/>
        <v/>
      </c>
    </row>
    <row r="946" spans="16:16" x14ac:dyDescent="0.25">
      <c r="P946" t="str">
        <f t="shared" si="14"/>
        <v/>
      </c>
    </row>
    <row r="947" spans="16:16" x14ac:dyDescent="0.25">
      <c r="P947" t="str">
        <f t="shared" si="14"/>
        <v/>
      </c>
    </row>
    <row r="948" spans="16:16" x14ac:dyDescent="0.25">
      <c r="P948" t="str">
        <f t="shared" si="14"/>
        <v/>
      </c>
    </row>
    <row r="949" spans="16:16" x14ac:dyDescent="0.25">
      <c r="P949" t="str">
        <f t="shared" si="14"/>
        <v/>
      </c>
    </row>
    <row r="950" spans="16:16" x14ac:dyDescent="0.25">
      <c r="P950" t="str">
        <f t="shared" si="14"/>
        <v/>
      </c>
    </row>
    <row r="951" spans="16:16" x14ac:dyDescent="0.25">
      <c r="P951" t="str">
        <f t="shared" si="14"/>
        <v/>
      </c>
    </row>
    <row r="952" spans="16:16" x14ac:dyDescent="0.25">
      <c r="P952" t="str">
        <f t="shared" si="14"/>
        <v/>
      </c>
    </row>
    <row r="953" spans="16:16" x14ac:dyDescent="0.25">
      <c r="P953" t="str">
        <f t="shared" si="14"/>
        <v/>
      </c>
    </row>
    <row r="954" spans="16:16" x14ac:dyDescent="0.25">
      <c r="P954" t="str">
        <f t="shared" si="14"/>
        <v/>
      </c>
    </row>
    <row r="955" spans="16:16" x14ac:dyDescent="0.25">
      <c r="P955" t="str">
        <f t="shared" si="14"/>
        <v/>
      </c>
    </row>
    <row r="956" spans="16:16" x14ac:dyDescent="0.25">
      <c r="P956" t="str">
        <f t="shared" si="14"/>
        <v/>
      </c>
    </row>
    <row r="957" spans="16:16" x14ac:dyDescent="0.25">
      <c r="P957" t="str">
        <f t="shared" si="14"/>
        <v/>
      </c>
    </row>
    <row r="958" spans="16:16" x14ac:dyDescent="0.25">
      <c r="P958" t="str">
        <f t="shared" si="14"/>
        <v/>
      </c>
    </row>
    <row r="959" spans="16:16" x14ac:dyDescent="0.25">
      <c r="P959" t="str">
        <f t="shared" si="14"/>
        <v/>
      </c>
    </row>
    <row r="960" spans="16:16" x14ac:dyDescent="0.25">
      <c r="P960" t="str">
        <f t="shared" si="14"/>
        <v/>
      </c>
    </row>
    <row r="961" spans="16:16" x14ac:dyDescent="0.25">
      <c r="P961" t="str">
        <f t="shared" si="14"/>
        <v/>
      </c>
    </row>
    <row r="962" spans="16:16" x14ac:dyDescent="0.25">
      <c r="P962" t="str">
        <f t="shared" si="14"/>
        <v/>
      </c>
    </row>
    <row r="963" spans="16:16" x14ac:dyDescent="0.25">
      <c r="P963" t="str">
        <f t="shared" si="14"/>
        <v/>
      </c>
    </row>
    <row r="964" spans="16:16" x14ac:dyDescent="0.25">
      <c r="P964" t="str">
        <f t="shared" si="14"/>
        <v/>
      </c>
    </row>
    <row r="965" spans="16:16" x14ac:dyDescent="0.25">
      <c r="P965" t="str">
        <f t="shared" si="14"/>
        <v/>
      </c>
    </row>
    <row r="966" spans="16:16" x14ac:dyDescent="0.25">
      <c r="P966" t="str">
        <f t="shared" si="14"/>
        <v/>
      </c>
    </row>
    <row r="967" spans="16:16" x14ac:dyDescent="0.25">
      <c r="P967" t="str">
        <f t="shared" ref="P967:P1000" si="15">IF(I967="","",SUMIFS(OrderItems_Qty,OrderItems_Type,"PURCHASE",OrderItems_SKU,I967)-SUMIFS(OrderItems_Qty,OrderItems_Type,"SALE",OrderItems_SKU,I967))</f>
        <v/>
      </c>
    </row>
    <row r="968" spans="16:16" x14ac:dyDescent="0.25">
      <c r="P968" t="str">
        <f t="shared" si="15"/>
        <v/>
      </c>
    </row>
    <row r="969" spans="16:16" x14ac:dyDescent="0.25">
      <c r="P969" t="str">
        <f t="shared" si="15"/>
        <v/>
      </c>
    </row>
    <row r="970" spans="16:16" x14ac:dyDescent="0.25">
      <c r="P970" t="str">
        <f t="shared" si="15"/>
        <v/>
      </c>
    </row>
    <row r="971" spans="16:16" x14ac:dyDescent="0.25">
      <c r="P971" t="str">
        <f t="shared" si="15"/>
        <v/>
      </c>
    </row>
    <row r="972" spans="16:16" x14ac:dyDescent="0.25">
      <c r="P972" t="str">
        <f t="shared" si="15"/>
        <v/>
      </c>
    </row>
    <row r="973" spans="16:16" x14ac:dyDescent="0.25">
      <c r="P973" t="str">
        <f t="shared" si="15"/>
        <v/>
      </c>
    </row>
    <row r="974" spans="16:16" x14ac:dyDescent="0.25">
      <c r="P974" t="str">
        <f t="shared" si="15"/>
        <v/>
      </c>
    </row>
    <row r="975" spans="16:16" x14ac:dyDescent="0.25">
      <c r="P975" t="str">
        <f t="shared" si="15"/>
        <v/>
      </c>
    </row>
    <row r="976" spans="16:16" x14ac:dyDescent="0.25">
      <c r="P976" t="str">
        <f t="shared" si="15"/>
        <v/>
      </c>
    </row>
    <row r="977" spans="16:16" x14ac:dyDescent="0.25">
      <c r="P977" t="str">
        <f t="shared" si="15"/>
        <v/>
      </c>
    </row>
    <row r="978" spans="16:16" x14ac:dyDescent="0.25">
      <c r="P978" t="str">
        <f t="shared" si="15"/>
        <v/>
      </c>
    </row>
    <row r="979" spans="16:16" x14ac:dyDescent="0.25">
      <c r="P979" t="str">
        <f t="shared" si="15"/>
        <v/>
      </c>
    </row>
    <row r="980" spans="16:16" x14ac:dyDescent="0.25">
      <c r="P980" t="str">
        <f t="shared" si="15"/>
        <v/>
      </c>
    </row>
    <row r="981" spans="16:16" x14ac:dyDescent="0.25">
      <c r="P981" t="str">
        <f t="shared" si="15"/>
        <v/>
      </c>
    </row>
    <row r="982" spans="16:16" x14ac:dyDescent="0.25">
      <c r="P982" t="str">
        <f t="shared" si="15"/>
        <v/>
      </c>
    </row>
    <row r="983" spans="16:16" x14ac:dyDescent="0.25">
      <c r="P983" t="str">
        <f t="shared" si="15"/>
        <v/>
      </c>
    </row>
    <row r="984" spans="16:16" x14ac:dyDescent="0.25">
      <c r="P984" t="str">
        <f t="shared" si="15"/>
        <v/>
      </c>
    </row>
    <row r="985" spans="16:16" x14ac:dyDescent="0.25">
      <c r="P985" t="str">
        <f t="shared" si="15"/>
        <v/>
      </c>
    </row>
    <row r="986" spans="16:16" x14ac:dyDescent="0.25">
      <c r="P986" t="str">
        <f t="shared" si="15"/>
        <v/>
      </c>
    </row>
    <row r="987" spans="16:16" x14ac:dyDescent="0.25">
      <c r="P987" t="str">
        <f t="shared" si="15"/>
        <v/>
      </c>
    </row>
    <row r="988" spans="16:16" x14ac:dyDescent="0.25">
      <c r="P988" t="str">
        <f t="shared" si="15"/>
        <v/>
      </c>
    </row>
    <row r="989" spans="16:16" x14ac:dyDescent="0.25">
      <c r="P989" t="str">
        <f t="shared" si="15"/>
        <v/>
      </c>
    </row>
    <row r="990" spans="16:16" x14ac:dyDescent="0.25">
      <c r="P990" t="str">
        <f t="shared" si="15"/>
        <v/>
      </c>
    </row>
    <row r="991" spans="16:16" x14ac:dyDescent="0.25">
      <c r="P991" t="str">
        <f t="shared" si="15"/>
        <v/>
      </c>
    </row>
    <row r="992" spans="16:16" x14ac:dyDescent="0.25">
      <c r="P992" t="str">
        <f t="shared" si="15"/>
        <v/>
      </c>
    </row>
    <row r="993" spans="16:16" x14ac:dyDescent="0.25">
      <c r="P993" t="str">
        <f t="shared" si="15"/>
        <v/>
      </c>
    </row>
    <row r="994" spans="16:16" x14ac:dyDescent="0.25">
      <c r="P994" t="str">
        <f t="shared" si="15"/>
        <v/>
      </c>
    </row>
    <row r="995" spans="16:16" x14ac:dyDescent="0.25">
      <c r="P995" t="str">
        <f t="shared" si="15"/>
        <v/>
      </c>
    </row>
    <row r="996" spans="16:16" x14ac:dyDescent="0.25">
      <c r="P996" t="str">
        <f t="shared" si="15"/>
        <v/>
      </c>
    </row>
    <row r="997" spans="16:16" x14ac:dyDescent="0.25">
      <c r="P997" t="str">
        <f t="shared" si="15"/>
        <v/>
      </c>
    </row>
    <row r="998" spans="16:16" x14ac:dyDescent="0.25">
      <c r="P998" t="str">
        <f t="shared" si="15"/>
        <v/>
      </c>
    </row>
    <row r="999" spans="16:16" x14ac:dyDescent="0.25">
      <c r="P999" t="str">
        <f t="shared" si="15"/>
        <v/>
      </c>
    </row>
    <row r="1000" spans="16:16" x14ac:dyDescent="0.25">
      <c r="P1000" t="str">
        <f t="shared" si="15"/>
        <v/>
      </c>
    </row>
  </sheetData>
  <mergeCells count="6">
    <mergeCell ref="D3:F3"/>
    <mergeCell ref="P5:P6"/>
    <mergeCell ref="O3:P3"/>
    <mergeCell ref="L3:M3"/>
    <mergeCell ref="N4:O4"/>
    <mergeCell ref="L4:M4"/>
  </mergeCells>
  <conditionalFormatting sqref="I7:O999">
    <cfRule type="expression" dxfId="10" priority="10">
      <formula>$B$6=ROW()</formula>
    </cfRule>
    <cfRule type="expression" dxfId="9" priority="11">
      <formula>$I6=""</formula>
    </cfRule>
    <cfRule type="expression" dxfId="8" priority="12">
      <formula>AND($I6&lt;&gt;"",MOD(ROW(),2)=0)</formula>
    </cfRule>
    <cfRule type="expression" dxfId="7" priority="13">
      <formula>AND($I6&lt;&gt;"",MOD(ROW(),2)=1)</formula>
    </cfRule>
  </conditionalFormatting>
  <conditionalFormatting sqref="I3:J3">
    <cfRule type="containsText" dxfId="6" priority="9" operator="containsText" text="Enter">
      <formula>NOT(ISERROR(SEARCH("Enter",I3)))</formula>
    </cfRule>
  </conditionalFormatting>
  <conditionalFormatting sqref="D5:F999">
    <cfRule type="expression" dxfId="5" priority="5">
      <formula>$B$8=ROW()</formula>
    </cfRule>
    <cfRule type="expression" dxfId="4" priority="7">
      <formula>AND($D5&lt;&gt;"",MOD(ROW(),2)=0)</formula>
    </cfRule>
    <cfRule type="expression" dxfId="3" priority="8">
      <formula>AND($D5&lt;&gt;"",MOD(ROW(),2)=1)</formula>
    </cfRule>
  </conditionalFormatting>
  <conditionalFormatting sqref="P7:P999">
    <cfRule type="expression" dxfId="2" priority="3">
      <formula>AND($I6&lt;&gt;"",MOD(ROW(),2)=0)</formula>
    </cfRule>
    <cfRule type="expression" dxfId="1" priority="4">
      <formula>AND($I6&lt;&gt;"",MOD(ROW(),2)=1)</formula>
    </cfRule>
  </conditionalFormatting>
  <dataValidations count="2">
    <dataValidation type="list" allowBlank="1" showInputMessage="1" showErrorMessage="1" sqref="J5" xr:uid="{00000000-0002-0000-0100-000000000000}">
      <formula1>Prod_SKU</formula1>
    </dataValidation>
    <dataValidation type="list" errorStyle="information" allowBlank="1" showInputMessage="1" showErrorMessage="1" sqref="J4" xr:uid="{7E42CAC2-7FA4-415F-82AF-C05BEED52EBC}">
      <formula1>Customer_NamesSorted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rders"/>
  <dimension ref="A1:Q23"/>
  <sheetViews>
    <sheetView workbookViewId="0">
      <selection activeCell="J14" sqref="J14"/>
    </sheetView>
  </sheetViews>
  <sheetFormatPr defaultRowHeight="15" x14ac:dyDescent="0.25"/>
  <cols>
    <col min="1" max="1" width="8.42578125" bestFit="1" customWidth="1"/>
    <col min="2" max="2" width="14.85546875" bestFit="1" customWidth="1"/>
    <col min="3" max="3" width="10.140625" customWidth="1"/>
    <col min="5" max="5" width="17.28515625" bestFit="1" customWidth="1"/>
    <col min="6" max="6" width="13.42578125" bestFit="1" customWidth="1"/>
    <col min="11" max="11" width="10.28515625" bestFit="1" customWidth="1"/>
    <col min="12" max="12" width="17.28515625" bestFit="1" customWidth="1"/>
    <col min="15" max="15" width="14.85546875" style="41" bestFit="1" customWidth="1"/>
    <col min="16" max="17" width="9.140625" style="41"/>
  </cols>
  <sheetData>
    <row r="1" spans="1:17" x14ac:dyDescent="0.25">
      <c r="A1" s="114" t="s">
        <v>21</v>
      </c>
      <c r="B1" s="114"/>
      <c r="C1" s="114"/>
      <c r="D1" s="114"/>
      <c r="E1" s="114"/>
      <c r="F1" s="114"/>
      <c r="G1" s="114"/>
      <c r="K1" s="113" t="s">
        <v>45</v>
      </c>
      <c r="L1" s="113"/>
      <c r="O1" s="112" t="s">
        <v>46</v>
      </c>
      <c r="P1" s="112"/>
      <c r="Q1" s="112"/>
    </row>
    <row r="2" spans="1:17" x14ac:dyDescent="0.25">
      <c r="A2" s="37" t="s">
        <v>10</v>
      </c>
      <c r="B2" s="37" t="s">
        <v>33</v>
      </c>
      <c r="C2" s="37" t="s">
        <v>19</v>
      </c>
      <c r="D2" s="37" t="s">
        <v>23</v>
      </c>
      <c r="E2" s="37" t="s">
        <v>44</v>
      </c>
      <c r="F2" s="37" t="s">
        <v>0</v>
      </c>
      <c r="G2" s="37" t="s">
        <v>16</v>
      </c>
      <c r="K2" s="17" t="s">
        <v>19</v>
      </c>
      <c r="L2" s="17" t="s">
        <v>44</v>
      </c>
      <c r="O2" s="16" t="s">
        <v>33</v>
      </c>
      <c r="P2" s="16" t="s">
        <v>44</v>
      </c>
      <c r="Q2" s="16" t="s">
        <v>10</v>
      </c>
    </row>
    <row r="3" spans="1:17" x14ac:dyDescent="0.25">
      <c r="A3" s="6">
        <v>10000</v>
      </c>
      <c r="B3" s="70">
        <v>44685.592557870368</v>
      </c>
      <c r="C3" t="s">
        <v>20</v>
      </c>
      <c r="D3" t="s">
        <v>25</v>
      </c>
      <c r="E3" s="41"/>
      <c r="F3" t="s">
        <v>93</v>
      </c>
      <c r="G3" s="77">
        <v>14.51</v>
      </c>
      <c r="K3" s="4" t="str">
        <f>POS!B1</f>
        <v>SALE</v>
      </c>
      <c r="L3" t="s">
        <v>96</v>
      </c>
      <c r="O3" s="70">
        <v>44686.00708333333</v>
      </c>
      <c r="P3" s="41" t="s">
        <v>96</v>
      </c>
      <c r="Q3" s="43">
        <v>10003</v>
      </c>
    </row>
    <row r="4" spans="1:17" x14ac:dyDescent="0.25">
      <c r="A4" s="6">
        <v>10001</v>
      </c>
      <c r="B4" s="70">
        <v>44685.59306712963</v>
      </c>
      <c r="C4" t="s">
        <v>74</v>
      </c>
      <c r="D4" t="s">
        <v>25</v>
      </c>
      <c r="F4" t="s">
        <v>93</v>
      </c>
      <c r="G4" s="77">
        <v>7.5</v>
      </c>
      <c r="O4" s="70"/>
      <c r="Q4" s="43"/>
    </row>
    <row r="5" spans="1:17" x14ac:dyDescent="0.25">
      <c r="A5" s="6">
        <v>10002</v>
      </c>
      <c r="B5" s="70">
        <v>44685.597175925926</v>
      </c>
      <c r="C5" t="s">
        <v>20</v>
      </c>
      <c r="D5" t="s">
        <v>25</v>
      </c>
      <c r="E5" t="s">
        <v>102</v>
      </c>
      <c r="F5" t="s">
        <v>93</v>
      </c>
      <c r="G5" s="77">
        <v>9.4700000000000006</v>
      </c>
      <c r="O5" s="70"/>
      <c r="Q5" s="43"/>
    </row>
    <row r="6" spans="1:17" x14ac:dyDescent="0.25">
      <c r="A6" s="6">
        <v>10003</v>
      </c>
      <c r="B6" s="70">
        <v>44686.00708333333</v>
      </c>
      <c r="C6" t="s">
        <v>20</v>
      </c>
      <c r="D6" t="s">
        <v>25</v>
      </c>
      <c r="E6" t="s">
        <v>96</v>
      </c>
      <c r="F6" t="s">
        <v>93</v>
      </c>
      <c r="G6" s="77">
        <v>27.21</v>
      </c>
      <c r="O6" s="70"/>
      <c r="Q6" s="43"/>
    </row>
    <row r="7" spans="1:17" x14ac:dyDescent="0.25">
      <c r="A7" s="6"/>
    </row>
    <row r="8" spans="1:17" x14ac:dyDescent="0.25">
      <c r="A8" s="6"/>
    </row>
    <row r="9" spans="1:17" x14ac:dyDescent="0.25">
      <c r="A9" s="6"/>
    </row>
    <row r="10" spans="1:17" x14ac:dyDescent="0.25">
      <c r="A10" s="6"/>
    </row>
    <row r="11" spans="1:17" x14ac:dyDescent="0.25">
      <c r="A11" s="6"/>
    </row>
    <row r="12" spans="1:17" x14ac:dyDescent="0.25">
      <c r="A12" s="6"/>
    </row>
    <row r="13" spans="1:17" x14ac:dyDescent="0.25">
      <c r="A13" s="6"/>
    </row>
    <row r="14" spans="1:17" x14ac:dyDescent="0.25">
      <c r="A14" s="6"/>
    </row>
    <row r="15" spans="1:17" x14ac:dyDescent="0.25">
      <c r="A15" s="6"/>
    </row>
    <row r="16" spans="1:17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</sheetData>
  <mergeCells count="3">
    <mergeCell ref="O1:Q1"/>
    <mergeCell ref="K1:L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rderItems"/>
  <dimension ref="A1:W52"/>
  <sheetViews>
    <sheetView workbookViewId="0">
      <selection activeCell="R20" sqref="R20"/>
    </sheetView>
  </sheetViews>
  <sheetFormatPr defaultRowHeight="15" x14ac:dyDescent="0.25"/>
  <cols>
    <col min="2" max="2" width="10.28515625" bestFit="1" customWidth="1"/>
    <col min="5" max="5" width="13.7109375" bestFit="1" customWidth="1"/>
    <col min="8" max="8" width="10.42578125" bestFit="1" customWidth="1"/>
    <col min="10" max="10" width="10.42578125" bestFit="1" customWidth="1"/>
    <col min="17" max="22" width="9.140625" style="41"/>
    <col min="23" max="23" width="10.42578125" style="41" bestFit="1" customWidth="1"/>
  </cols>
  <sheetData>
    <row r="1" spans="1:23" x14ac:dyDescent="0.25">
      <c r="A1" s="115" t="s">
        <v>58</v>
      </c>
      <c r="B1" s="115"/>
      <c r="C1" s="115"/>
      <c r="D1" s="115"/>
      <c r="E1" s="115"/>
      <c r="F1" s="115"/>
      <c r="G1" s="115"/>
      <c r="H1" s="115"/>
      <c r="I1" s="115"/>
      <c r="J1" s="115"/>
      <c r="N1" s="117" t="s">
        <v>45</v>
      </c>
      <c r="O1" s="117"/>
      <c r="Q1" s="116" t="s">
        <v>46</v>
      </c>
      <c r="R1" s="116"/>
      <c r="S1" s="116"/>
      <c r="T1" s="116"/>
      <c r="U1" s="116"/>
      <c r="V1" s="116"/>
      <c r="W1" s="116"/>
    </row>
    <row r="2" spans="1:23" x14ac:dyDescent="0.25">
      <c r="A2" s="35" t="s">
        <v>10</v>
      </c>
      <c r="B2" s="35" t="s">
        <v>19</v>
      </c>
      <c r="C2" s="35" t="s">
        <v>57</v>
      </c>
      <c r="D2" s="35" t="s">
        <v>56</v>
      </c>
      <c r="E2" s="35" t="s">
        <v>2</v>
      </c>
      <c r="F2" s="35" t="s">
        <v>3</v>
      </c>
      <c r="G2" s="35" t="s">
        <v>4</v>
      </c>
      <c r="H2" s="35" t="s">
        <v>5</v>
      </c>
      <c r="I2" s="35" t="s">
        <v>6</v>
      </c>
      <c r="J2" s="35" t="s">
        <v>47</v>
      </c>
      <c r="N2" s="3" t="s">
        <v>10</v>
      </c>
      <c r="O2" s="3" t="s">
        <v>19</v>
      </c>
      <c r="Q2" s="35" t="s">
        <v>57</v>
      </c>
      <c r="R2" s="35" t="s">
        <v>56</v>
      </c>
      <c r="S2" s="35" t="s">
        <v>2</v>
      </c>
      <c r="T2" s="35" t="s">
        <v>3</v>
      </c>
      <c r="U2" s="35" t="s">
        <v>4</v>
      </c>
      <c r="V2" s="35" t="s">
        <v>5</v>
      </c>
      <c r="W2" s="35" t="s">
        <v>47</v>
      </c>
    </row>
    <row r="3" spans="1:23" x14ac:dyDescent="0.25">
      <c r="A3">
        <v>10000</v>
      </c>
      <c r="B3" t="s">
        <v>20</v>
      </c>
      <c r="C3">
        <v>3</v>
      </c>
      <c r="D3">
        <v>8285186</v>
      </c>
      <c r="E3" t="s">
        <v>118</v>
      </c>
      <c r="F3">
        <v>1</v>
      </c>
      <c r="G3" s="36">
        <v>3.86</v>
      </c>
      <c r="I3" s="36">
        <v>3.86</v>
      </c>
      <c r="J3">
        <v>7</v>
      </c>
      <c r="N3" s="3">
        <f>POS!P4</f>
        <v>10004</v>
      </c>
      <c r="O3" s="3" t="s">
        <v>59</v>
      </c>
      <c r="Q3" s="41">
        <v>14</v>
      </c>
      <c r="R3" s="41">
        <v>8813930</v>
      </c>
      <c r="S3" s="41" t="s">
        <v>138</v>
      </c>
      <c r="T3" s="41">
        <v>6</v>
      </c>
      <c r="U3" s="77">
        <v>2.2799999999999998</v>
      </c>
      <c r="W3" s="41">
        <v>7</v>
      </c>
    </row>
    <row r="4" spans="1:23" x14ac:dyDescent="0.25">
      <c r="A4" s="24">
        <v>10000</v>
      </c>
      <c r="B4" s="24" t="s">
        <v>20</v>
      </c>
      <c r="C4">
        <v>4</v>
      </c>
      <c r="D4">
        <v>5880658</v>
      </c>
      <c r="E4" t="s">
        <v>123</v>
      </c>
      <c r="F4">
        <v>1</v>
      </c>
      <c r="G4" s="36">
        <v>3.67</v>
      </c>
      <c r="I4" s="36">
        <v>3.67</v>
      </c>
      <c r="J4">
        <v>8</v>
      </c>
      <c r="Q4" s="41">
        <v>15</v>
      </c>
      <c r="R4" s="41">
        <v>9388963</v>
      </c>
      <c r="S4" s="41" t="s">
        <v>139</v>
      </c>
      <c r="T4" s="41">
        <v>1</v>
      </c>
      <c r="U4" s="77">
        <v>3.56</v>
      </c>
      <c r="W4" s="41">
        <v>8</v>
      </c>
    </row>
    <row r="5" spans="1:23" x14ac:dyDescent="0.25">
      <c r="A5" s="24">
        <v>10000</v>
      </c>
      <c r="B5" s="24" t="s">
        <v>20</v>
      </c>
      <c r="C5">
        <v>5</v>
      </c>
      <c r="D5">
        <v>1967593</v>
      </c>
      <c r="E5" t="s">
        <v>124</v>
      </c>
      <c r="F5">
        <v>1</v>
      </c>
      <c r="G5" s="36">
        <v>3.85</v>
      </c>
      <c r="I5" s="36">
        <v>3.85</v>
      </c>
      <c r="J5">
        <v>9</v>
      </c>
      <c r="Q5" s="41">
        <v>16</v>
      </c>
      <c r="R5" s="41">
        <v>5729333</v>
      </c>
      <c r="S5" s="41" t="s">
        <v>137</v>
      </c>
      <c r="T5" s="41">
        <v>1</v>
      </c>
      <c r="U5" s="77">
        <v>2.2999999999999998</v>
      </c>
      <c r="W5" s="41">
        <v>9</v>
      </c>
    </row>
    <row r="6" spans="1:23" x14ac:dyDescent="0.25">
      <c r="A6" s="24">
        <v>10000</v>
      </c>
      <c r="B6" s="24" t="s">
        <v>20</v>
      </c>
      <c r="C6">
        <v>6</v>
      </c>
      <c r="D6">
        <v>8505107</v>
      </c>
      <c r="E6" t="s">
        <v>130</v>
      </c>
      <c r="F6">
        <v>1</v>
      </c>
      <c r="G6" s="36">
        <v>2.02</v>
      </c>
      <c r="I6" s="36">
        <v>2.02</v>
      </c>
      <c r="J6">
        <v>10</v>
      </c>
      <c r="Q6" s="41">
        <v>17</v>
      </c>
      <c r="R6" s="41">
        <v>5275324</v>
      </c>
      <c r="S6" s="41" t="s">
        <v>136</v>
      </c>
      <c r="T6" s="41">
        <v>2</v>
      </c>
      <c r="U6" s="77">
        <v>2.8</v>
      </c>
      <c r="W6" s="41">
        <v>10</v>
      </c>
    </row>
    <row r="7" spans="1:23" x14ac:dyDescent="0.25">
      <c r="A7" s="24">
        <v>10001</v>
      </c>
      <c r="B7" s="24" t="s">
        <v>74</v>
      </c>
      <c r="C7">
        <v>7</v>
      </c>
      <c r="D7">
        <v>2553863</v>
      </c>
      <c r="E7" t="s">
        <v>120</v>
      </c>
      <c r="F7">
        <v>1</v>
      </c>
      <c r="G7" s="36">
        <v>1.58</v>
      </c>
      <c r="I7" s="36">
        <v>1.58</v>
      </c>
      <c r="J7">
        <v>7</v>
      </c>
      <c r="U7" s="77"/>
    </row>
    <row r="8" spans="1:23" x14ac:dyDescent="0.25">
      <c r="A8" s="24">
        <v>10001</v>
      </c>
      <c r="B8" s="24" t="s">
        <v>74</v>
      </c>
      <c r="C8">
        <v>8</v>
      </c>
      <c r="D8">
        <v>9253664</v>
      </c>
      <c r="E8" t="s">
        <v>125</v>
      </c>
      <c r="F8">
        <v>1</v>
      </c>
      <c r="G8" s="36">
        <v>1.78</v>
      </c>
      <c r="I8" s="36">
        <v>1.78</v>
      </c>
      <c r="J8">
        <v>8</v>
      </c>
      <c r="U8" s="77"/>
    </row>
    <row r="9" spans="1:23" x14ac:dyDescent="0.25">
      <c r="A9" s="24">
        <v>10001</v>
      </c>
      <c r="B9" t="s">
        <v>74</v>
      </c>
      <c r="C9">
        <v>9</v>
      </c>
      <c r="D9">
        <v>8702433</v>
      </c>
      <c r="E9" t="s">
        <v>126</v>
      </c>
      <c r="F9">
        <v>1</v>
      </c>
      <c r="G9" s="36">
        <v>1.85</v>
      </c>
      <c r="I9" s="36">
        <v>1.85</v>
      </c>
      <c r="J9">
        <v>9</v>
      </c>
      <c r="U9" s="77"/>
    </row>
    <row r="10" spans="1:23" x14ac:dyDescent="0.25">
      <c r="A10" s="24">
        <v>10001</v>
      </c>
      <c r="B10" t="s">
        <v>74</v>
      </c>
      <c r="C10">
        <v>10</v>
      </c>
      <c r="D10">
        <v>8515368</v>
      </c>
      <c r="E10" t="s">
        <v>143</v>
      </c>
      <c r="F10">
        <v>1</v>
      </c>
      <c r="G10" s="36">
        <v>1.72</v>
      </c>
      <c r="I10" s="36">
        <v>1.72</v>
      </c>
      <c r="J10">
        <v>10</v>
      </c>
      <c r="U10" s="77"/>
    </row>
    <row r="11" spans="1:23" x14ac:dyDescent="0.25">
      <c r="A11" s="24">
        <v>10002</v>
      </c>
      <c r="B11" t="s">
        <v>20</v>
      </c>
      <c r="C11">
        <v>11</v>
      </c>
      <c r="D11">
        <v>8159837</v>
      </c>
      <c r="E11" t="s">
        <v>119</v>
      </c>
      <c r="F11">
        <v>3</v>
      </c>
      <c r="G11" s="36">
        <v>1.56</v>
      </c>
      <c r="I11" s="36">
        <v>4.68</v>
      </c>
      <c r="J11">
        <v>7</v>
      </c>
      <c r="U11" s="77"/>
    </row>
    <row r="12" spans="1:23" x14ac:dyDescent="0.25">
      <c r="A12" s="24">
        <v>10002</v>
      </c>
      <c r="B12" t="s">
        <v>20</v>
      </c>
      <c r="C12">
        <v>12</v>
      </c>
      <c r="D12">
        <v>2749116</v>
      </c>
      <c r="E12" t="s">
        <v>131</v>
      </c>
      <c r="F12">
        <v>1</v>
      </c>
      <c r="G12" s="36">
        <v>1.33</v>
      </c>
      <c r="I12" s="36">
        <v>1.33</v>
      </c>
      <c r="J12">
        <v>8</v>
      </c>
    </row>
    <row r="13" spans="1:23" x14ac:dyDescent="0.25">
      <c r="A13" s="24">
        <v>10002</v>
      </c>
      <c r="B13" t="s">
        <v>20</v>
      </c>
      <c r="C13">
        <v>13</v>
      </c>
      <c r="D13">
        <v>5275324</v>
      </c>
      <c r="E13" t="s">
        <v>136</v>
      </c>
      <c r="F13">
        <v>2</v>
      </c>
      <c r="G13" s="36">
        <v>1.37</v>
      </c>
      <c r="I13" s="36">
        <v>2.74</v>
      </c>
      <c r="J13">
        <v>9</v>
      </c>
    </row>
    <row r="14" spans="1:23" x14ac:dyDescent="0.25">
      <c r="A14" s="24">
        <v>10003</v>
      </c>
      <c r="B14" t="s">
        <v>20</v>
      </c>
      <c r="C14">
        <v>14</v>
      </c>
      <c r="D14">
        <v>8813930</v>
      </c>
      <c r="E14" t="s">
        <v>138</v>
      </c>
      <c r="F14">
        <v>6</v>
      </c>
      <c r="G14" s="36">
        <v>2.2799999999999998</v>
      </c>
      <c r="I14" s="36">
        <v>13.68</v>
      </c>
      <c r="J14">
        <v>7</v>
      </c>
    </row>
    <row r="15" spans="1:23" x14ac:dyDescent="0.25">
      <c r="A15" s="24">
        <v>10003</v>
      </c>
      <c r="B15" t="s">
        <v>20</v>
      </c>
      <c r="C15">
        <v>15</v>
      </c>
      <c r="D15">
        <v>9388963</v>
      </c>
      <c r="E15" t="s">
        <v>139</v>
      </c>
      <c r="F15">
        <v>1</v>
      </c>
      <c r="G15" s="36">
        <v>3.56</v>
      </c>
      <c r="I15" s="36">
        <v>3.56</v>
      </c>
      <c r="J15">
        <v>8</v>
      </c>
    </row>
    <row r="16" spans="1:23" x14ac:dyDescent="0.25">
      <c r="A16" s="24">
        <v>10003</v>
      </c>
      <c r="B16" t="s">
        <v>20</v>
      </c>
      <c r="C16">
        <v>16</v>
      </c>
      <c r="D16">
        <v>5729333</v>
      </c>
      <c r="E16" t="s">
        <v>137</v>
      </c>
      <c r="F16">
        <v>1</v>
      </c>
      <c r="G16" s="36">
        <v>2.2999999999999998</v>
      </c>
      <c r="I16" s="36">
        <v>2.2999999999999998</v>
      </c>
      <c r="J16">
        <v>9</v>
      </c>
    </row>
    <row r="17" spans="1:10" x14ac:dyDescent="0.25">
      <c r="A17" s="24">
        <v>10003</v>
      </c>
      <c r="B17" s="24" t="s">
        <v>20</v>
      </c>
      <c r="C17">
        <v>17</v>
      </c>
      <c r="D17">
        <v>5275324</v>
      </c>
      <c r="E17" t="s">
        <v>136</v>
      </c>
      <c r="F17">
        <v>2</v>
      </c>
      <c r="G17" s="36">
        <v>2.8</v>
      </c>
      <c r="I17" s="36">
        <v>5.6</v>
      </c>
      <c r="J17">
        <v>10</v>
      </c>
    </row>
    <row r="18" spans="1:10" x14ac:dyDescent="0.25">
      <c r="B18" s="24"/>
      <c r="G18" s="36"/>
      <c r="I18" s="36"/>
    </row>
    <row r="19" spans="1:10" x14ac:dyDescent="0.25">
      <c r="B19" s="24"/>
      <c r="G19" s="36"/>
      <c r="I19" s="36"/>
    </row>
    <row r="20" spans="1:10" x14ac:dyDescent="0.25">
      <c r="A20" s="24"/>
      <c r="B20" s="24"/>
      <c r="G20" s="36"/>
      <c r="I20" s="36"/>
    </row>
    <row r="21" spans="1:10" x14ac:dyDescent="0.25">
      <c r="A21" s="24"/>
      <c r="B21" s="24"/>
      <c r="G21" s="36"/>
      <c r="I21" s="36"/>
    </row>
    <row r="22" spans="1:10" x14ac:dyDescent="0.25">
      <c r="G22" s="36"/>
      <c r="I22" s="36"/>
    </row>
    <row r="23" spans="1:10" x14ac:dyDescent="0.25">
      <c r="G23" s="36"/>
      <c r="I23" s="36"/>
    </row>
    <row r="24" spans="1:10" x14ac:dyDescent="0.25">
      <c r="G24" s="36"/>
      <c r="I24" s="36"/>
    </row>
    <row r="25" spans="1:10" x14ac:dyDescent="0.25">
      <c r="G25" s="36"/>
      <c r="I25" s="36"/>
    </row>
    <row r="26" spans="1:10" x14ac:dyDescent="0.25">
      <c r="G26" s="36"/>
      <c r="I26" s="36"/>
    </row>
    <row r="27" spans="1:10" x14ac:dyDescent="0.25">
      <c r="G27" s="77"/>
      <c r="I27" s="77"/>
    </row>
    <row r="28" spans="1:10" x14ac:dyDescent="0.25">
      <c r="G28" s="77"/>
      <c r="I28" s="77"/>
    </row>
    <row r="29" spans="1:10" x14ac:dyDescent="0.25">
      <c r="G29" s="77"/>
      <c r="I29" s="77"/>
    </row>
    <row r="30" spans="1:10" x14ac:dyDescent="0.25">
      <c r="G30" s="77"/>
      <c r="I30" s="77"/>
    </row>
    <row r="31" spans="1:10" x14ac:dyDescent="0.25">
      <c r="G31" s="77"/>
      <c r="I31" s="77"/>
    </row>
    <row r="32" spans="1:10" x14ac:dyDescent="0.25">
      <c r="G32" s="77"/>
      <c r="I32" s="77"/>
    </row>
    <row r="33" spans="1:9" x14ac:dyDescent="0.25">
      <c r="G33" s="77"/>
      <c r="I33" s="77"/>
    </row>
    <row r="34" spans="1:9" x14ac:dyDescent="0.25">
      <c r="G34" s="77"/>
      <c r="I34" s="77"/>
    </row>
    <row r="35" spans="1:9" x14ac:dyDescent="0.25">
      <c r="A35" s="41"/>
      <c r="G35" s="77"/>
      <c r="I35" s="77"/>
    </row>
    <row r="36" spans="1:9" x14ac:dyDescent="0.25">
      <c r="A36" s="41"/>
      <c r="G36" s="77"/>
      <c r="I36" s="77"/>
    </row>
    <row r="37" spans="1:9" x14ac:dyDescent="0.25">
      <c r="A37" s="41"/>
      <c r="G37" s="77"/>
      <c r="I37" s="77"/>
    </row>
    <row r="38" spans="1:9" x14ac:dyDescent="0.25">
      <c r="A38" s="41"/>
      <c r="G38" s="77"/>
      <c r="I38" s="77"/>
    </row>
    <row r="39" spans="1:9" x14ac:dyDescent="0.25">
      <c r="A39" s="41"/>
      <c r="G39" s="77"/>
      <c r="I39" s="77"/>
    </row>
    <row r="40" spans="1:9" x14ac:dyDescent="0.25">
      <c r="G40" s="77"/>
      <c r="I40" s="77"/>
    </row>
    <row r="41" spans="1:9" x14ac:dyDescent="0.25">
      <c r="G41" s="77"/>
      <c r="I41" s="77"/>
    </row>
    <row r="42" spans="1:9" x14ac:dyDescent="0.25">
      <c r="G42" s="77"/>
      <c r="I42" s="77"/>
    </row>
    <row r="43" spans="1:9" x14ac:dyDescent="0.25">
      <c r="G43" s="77"/>
      <c r="I43" s="77"/>
    </row>
    <row r="44" spans="1:9" x14ac:dyDescent="0.25">
      <c r="G44" s="77"/>
      <c r="I44" s="77"/>
    </row>
    <row r="45" spans="1:9" x14ac:dyDescent="0.25">
      <c r="G45" s="77"/>
      <c r="I45" s="77"/>
    </row>
    <row r="46" spans="1:9" x14ac:dyDescent="0.25">
      <c r="G46" s="77"/>
      <c r="I46" s="77"/>
    </row>
    <row r="47" spans="1:9" x14ac:dyDescent="0.25">
      <c r="G47" s="77"/>
      <c r="I47" s="77"/>
    </row>
    <row r="48" spans="1:9" x14ac:dyDescent="0.25">
      <c r="G48" s="77"/>
      <c r="I48" s="77"/>
    </row>
    <row r="49" spans="7:9" x14ac:dyDescent="0.25">
      <c r="G49" s="77"/>
      <c r="I49" s="77"/>
    </row>
    <row r="50" spans="7:9" x14ac:dyDescent="0.25">
      <c r="G50" s="77"/>
      <c r="I50" s="77"/>
    </row>
    <row r="51" spans="7:9" x14ac:dyDescent="0.25">
      <c r="G51" s="77"/>
      <c r="I51" s="77"/>
    </row>
    <row r="52" spans="7:9" x14ac:dyDescent="0.25">
      <c r="G52" s="77"/>
      <c r="I52" s="77"/>
    </row>
  </sheetData>
  <mergeCells count="3">
    <mergeCell ref="A1:J1"/>
    <mergeCell ref="Q1:W1"/>
    <mergeCell ref="N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ustomers"/>
  <dimension ref="A1:G31"/>
  <sheetViews>
    <sheetView workbookViewId="0">
      <selection activeCell="G3" sqref="G3:G6"/>
    </sheetView>
  </sheetViews>
  <sheetFormatPr defaultRowHeight="15" x14ac:dyDescent="0.25"/>
  <cols>
    <col min="2" max="2" width="15.42578125" bestFit="1" customWidth="1"/>
    <col min="3" max="3" width="11.85546875" bestFit="1" customWidth="1"/>
    <col min="7" max="7" width="16.7109375" style="41" bestFit="1" customWidth="1"/>
  </cols>
  <sheetData>
    <row r="1" spans="1:7" x14ac:dyDescent="0.25">
      <c r="A1" s="118" t="s">
        <v>34</v>
      </c>
      <c r="B1" s="118"/>
      <c r="C1" s="118"/>
      <c r="G1" s="11" t="s">
        <v>41</v>
      </c>
    </row>
    <row r="2" spans="1:7" x14ac:dyDescent="0.25">
      <c r="A2" s="8" t="s">
        <v>35</v>
      </c>
      <c r="B2" s="8" t="s">
        <v>36</v>
      </c>
      <c r="C2" s="8"/>
      <c r="G2" s="5" t="s">
        <v>36</v>
      </c>
    </row>
    <row r="3" spans="1:7" x14ac:dyDescent="0.25">
      <c r="A3" s="43">
        <v>1</v>
      </c>
      <c r="B3" t="s">
        <v>96</v>
      </c>
      <c r="G3" s="41" t="s">
        <v>96</v>
      </c>
    </row>
    <row r="4" spans="1:7" x14ac:dyDescent="0.25">
      <c r="A4" s="43">
        <v>2</v>
      </c>
      <c r="B4" t="s">
        <v>97</v>
      </c>
      <c r="G4" s="41" t="s">
        <v>97</v>
      </c>
    </row>
    <row r="5" spans="1:7" x14ac:dyDescent="0.25">
      <c r="A5" s="43">
        <v>3</v>
      </c>
      <c r="B5" t="s">
        <v>98</v>
      </c>
      <c r="G5" s="41" t="s">
        <v>98</v>
      </c>
    </row>
    <row r="6" spans="1:7" x14ac:dyDescent="0.25">
      <c r="A6" s="43">
        <v>4</v>
      </c>
      <c r="B6" t="s">
        <v>99</v>
      </c>
      <c r="G6" s="41" t="s">
        <v>99</v>
      </c>
    </row>
    <row r="7" spans="1:7" x14ac:dyDescent="0.25">
      <c r="A7" s="43"/>
    </row>
    <row r="8" spans="1:7" x14ac:dyDescent="0.25">
      <c r="A8" s="43"/>
    </row>
    <row r="9" spans="1:7" x14ac:dyDescent="0.25">
      <c r="A9" s="43"/>
    </row>
    <row r="10" spans="1:7" x14ac:dyDescent="0.25">
      <c r="A10" s="43"/>
    </row>
    <row r="11" spans="1:7" x14ac:dyDescent="0.25">
      <c r="A11" s="43"/>
    </row>
    <row r="12" spans="1:7" x14ac:dyDescent="0.25">
      <c r="A12" s="43"/>
    </row>
    <row r="13" spans="1:7" x14ac:dyDescent="0.25">
      <c r="A13" s="43"/>
    </row>
    <row r="14" spans="1:7" x14ac:dyDescent="0.25">
      <c r="A14" s="43"/>
    </row>
    <row r="15" spans="1:7" x14ac:dyDescent="0.25">
      <c r="A15" s="43"/>
    </row>
    <row r="16" spans="1:7" x14ac:dyDescent="0.25">
      <c r="A16" s="43"/>
    </row>
    <row r="17" spans="1:1" x14ac:dyDescent="0.25">
      <c r="A17" s="43"/>
    </row>
    <row r="18" spans="1:1" x14ac:dyDescent="0.25">
      <c r="A18" s="43"/>
    </row>
    <row r="19" spans="1:1" x14ac:dyDescent="0.25">
      <c r="A19" s="43"/>
    </row>
    <row r="20" spans="1:1" x14ac:dyDescent="0.25">
      <c r="A20" s="43"/>
    </row>
    <row r="21" spans="1:1" x14ac:dyDescent="0.25">
      <c r="A21" s="43"/>
    </row>
    <row r="22" spans="1:1" x14ac:dyDescent="0.25">
      <c r="A22" s="43"/>
    </row>
    <row r="23" spans="1:1" x14ac:dyDescent="0.25">
      <c r="A23" s="43"/>
    </row>
    <row r="24" spans="1:1" x14ac:dyDescent="0.25">
      <c r="A24" s="43"/>
    </row>
    <row r="25" spans="1:1" x14ac:dyDescent="0.25">
      <c r="A25" s="43"/>
    </row>
    <row r="26" spans="1:1" x14ac:dyDescent="0.25">
      <c r="A26" s="43"/>
    </row>
    <row r="27" spans="1:1" x14ac:dyDescent="0.25">
      <c r="A27" s="43"/>
    </row>
    <row r="28" spans="1:1" x14ac:dyDescent="0.25">
      <c r="A28" s="43"/>
    </row>
    <row r="29" spans="1:1" x14ac:dyDescent="0.25">
      <c r="A29" s="43"/>
    </row>
    <row r="30" spans="1:1" x14ac:dyDescent="0.25">
      <c r="A30" s="43"/>
    </row>
    <row r="31" spans="1:1" x14ac:dyDescent="0.25">
      <c r="A31" s="43"/>
    </row>
  </sheetData>
  <sortState xmlns:xlrd2="http://schemas.microsoft.com/office/spreadsheetml/2017/richdata2" ref="G3:G6">
    <sortCondition ref="G3"/>
  </sortState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Vendors"/>
  <dimension ref="A1:G39"/>
  <sheetViews>
    <sheetView workbookViewId="0">
      <selection activeCell="G3" sqref="G3:G6"/>
    </sheetView>
  </sheetViews>
  <sheetFormatPr defaultRowHeight="15" x14ac:dyDescent="0.25"/>
  <cols>
    <col min="2" max="2" width="18.85546875" bestFit="1" customWidth="1"/>
    <col min="3" max="3" width="14.85546875" bestFit="1" customWidth="1"/>
    <col min="7" max="7" width="18.85546875" style="41" bestFit="1" customWidth="1"/>
  </cols>
  <sheetData>
    <row r="1" spans="1:7" x14ac:dyDescent="0.25">
      <c r="A1" s="119" t="s">
        <v>37</v>
      </c>
      <c r="B1" s="119"/>
      <c r="C1" s="119"/>
      <c r="G1" s="12" t="s">
        <v>40</v>
      </c>
    </row>
    <row r="2" spans="1:7" x14ac:dyDescent="0.25">
      <c r="A2" s="9" t="s">
        <v>38</v>
      </c>
      <c r="B2" s="9" t="s">
        <v>39</v>
      </c>
      <c r="C2" s="9"/>
      <c r="G2" s="9" t="s">
        <v>39</v>
      </c>
    </row>
    <row r="3" spans="1:7" x14ac:dyDescent="0.25">
      <c r="A3" s="43">
        <v>1</v>
      </c>
      <c r="B3" t="s">
        <v>101</v>
      </c>
      <c r="G3" s="41" t="s">
        <v>104</v>
      </c>
    </row>
    <row r="4" spans="1:7" x14ac:dyDescent="0.25">
      <c r="A4" s="43">
        <v>2</v>
      </c>
      <c r="B4" t="s">
        <v>102</v>
      </c>
      <c r="G4" s="41" t="s">
        <v>102</v>
      </c>
    </row>
    <row r="5" spans="1:7" x14ac:dyDescent="0.25">
      <c r="A5" s="43">
        <v>3</v>
      </c>
      <c r="B5" t="s">
        <v>103</v>
      </c>
      <c r="G5" s="41" t="s">
        <v>101</v>
      </c>
    </row>
    <row r="6" spans="1:7" x14ac:dyDescent="0.25">
      <c r="A6" s="43">
        <v>4</v>
      </c>
      <c r="B6" t="s">
        <v>104</v>
      </c>
      <c r="G6" s="41" t="s">
        <v>103</v>
      </c>
    </row>
    <row r="7" spans="1:7" x14ac:dyDescent="0.25">
      <c r="A7" s="43"/>
    </row>
    <row r="8" spans="1:7" x14ac:dyDescent="0.25">
      <c r="A8" s="43"/>
    </row>
    <row r="9" spans="1:7" x14ac:dyDescent="0.25">
      <c r="A9" s="43"/>
    </row>
    <row r="10" spans="1:7" x14ac:dyDescent="0.25">
      <c r="A10" s="43"/>
    </row>
    <row r="11" spans="1:7" x14ac:dyDescent="0.25">
      <c r="A11" s="43"/>
    </row>
    <row r="12" spans="1:7" x14ac:dyDescent="0.25">
      <c r="A12" s="43"/>
    </row>
    <row r="13" spans="1:7" x14ac:dyDescent="0.25">
      <c r="A13" s="43"/>
    </row>
    <row r="14" spans="1:7" x14ac:dyDescent="0.25">
      <c r="A14" s="43"/>
    </row>
    <row r="15" spans="1:7" x14ac:dyDescent="0.25">
      <c r="A15" s="43"/>
    </row>
    <row r="16" spans="1:7" x14ac:dyDescent="0.25">
      <c r="A16" s="43"/>
    </row>
    <row r="17" spans="1:1" x14ac:dyDescent="0.25">
      <c r="A17" s="43"/>
    </row>
    <row r="18" spans="1:1" x14ac:dyDescent="0.25">
      <c r="A18" s="43"/>
    </row>
    <row r="19" spans="1:1" x14ac:dyDescent="0.25">
      <c r="A19" s="43"/>
    </row>
    <row r="20" spans="1:1" x14ac:dyDescent="0.25">
      <c r="A20" s="43"/>
    </row>
    <row r="21" spans="1:1" x14ac:dyDescent="0.25">
      <c r="A21" s="43"/>
    </row>
    <row r="22" spans="1:1" x14ac:dyDescent="0.25">
      <c r="A22" s="43"/>
    </row>
    <row r="23" spans="1:1" x14ac:dyDescent="0.25">
      <c r="A23" s="43"/>
    </row>
    <row r="24" spans="1:1" x14ac:dyDescent="0.25">
      <c r="A24" s="43"/>
    </row>
    <row r="25" spans="1:1" x14ac:dyDescent="0.25">
      <c r="A25" s="43"/>
    </row>
    <row r="26" spans="1:1" x14ac:dyDescent="0.25">
      <c r="A26" s="43"/>
    </row>
    <row r="27" spans="1:1" x14ac:dyDescent="0.25">
      <c r="A27" s="43"/>
    </row>
    <row r="28" spans="1:1" x14ac:dyDescent="0.25">
      <c r="A28" s="43"/>
    </row>
    <row r="29" spans="1:1" x14ac:dyDescent="0.25">
      <c r="A29" s="43"/>
    </row>
    <row r="30" spans="1:1" x14ac:dyDescent="0.25">
      <c r="A30" s="43"/>
    </row>
    <row r="31" spans="1:1" x14ac:dyDescent="0.25">
      <c r="A31" s="43"/>
    </row>
    <row r="32" spans="1:1" x14ac:dyDescent="0.25">
      <c r="A32" s="43"/>
    </row>
    <row r="33" spans="1:1" x14ac:dyDescent="0.25">
      <c r="A33" s="43"/>
    </row>
    <row r="34" spans="1:1" x14ac:dyDescent="0.25">
      <c r="A34" s="43"/>
    </row>
    <row r="35" spans="1:1" x14ac:dyDescent="0.25">
      <c r="A35" s="43"/>
    </row>
    <row r="36" spans="1:1" x14ac:dyDescent="0.25">
      <c r="A36" s="43"/>
    </row>
    <row r="37" spans="1:1" x14ac:dyDescent="0.25">
      <c r="A37" s="43"/>
    </row>
    <row r="38" spans="1:1" x14ac:dyDescent="0.25">
      <c r="A38" s="43"/>
    </row>
    <row r="39" spans="1:1" x14ac:dyDescent="0.25">
      <c r="A39" s="43"/>
    </row>
  </sheetData>
  <sortState xmlns:xlrd2="http://schemas.microsoft.com/office/spreadsheetml/2017/richdata2" ref="G3:G6">
    <sortCondition ref="G3:G6"/>
  </sortState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roducts"/>
  <dimension ref="A1:O31"/>
  <sheetViews>
    <sheetView topLeftCell="D1" workbookViewId="0">
      <selection activeCell="N3" sqref="N3:O3"/>
    </sheetView>
  </sheetViews>
  <sheetFormatPr defaultRowHeight="15" x14ac:dyDescent="0.25"/>
  <cols>
    <col min="1" max="1" width="9.140625" customWidth="1"/>
    <col min="2" max="2" width="18" customWidth="1"/>
    <col min="3" max="3" width="18.5703125" bestFit="1" customWidth="1"/>
    <col min="4" max="4" width="12.85546875" bestFit="1" customWidth="1"/>
    <col min="5" max="5" width="12" customWidth="1"/>
    <col min="6" max="6" width="16.42578125" customWidth="1"/>
    <col min="10" max="10" width="19.28515625" customWidth="1"/>
    <col min="11" max="11" width="12" customWidth="1"/>
    <col min="14" max="14" width="9.140625" style="41"/>
    <col min="15" max="15" width="16.42578125" style="41" bestFit="1" customWidth="1"/>
  </cols>
  <sheetData>
    <row r="1" spans="1:15" x14ac:dyDescent="0.25">
      <c r="A1" s="120" t="s">
        <v>50</v>
      </c>
      <c r="B1" s="121"/>
      <c r="C1" s="121"/>
      <c r="D1" s="121"/>
      <c r="E1" s="121"/>
      <c r="F1" s="121"/>
      <c r="J1" s="122" t="s">
        <v>45</v>
      </c>
      <c r="K1" s="122"/>
      <c r="N1" s="122" t="s">
        <v>45</v>
      </c>
      <c r="O1" s="122"/>
    </row>
    <row r="2" spans="1:15" x14ac:dyDescent="0.25">
      <c r="A2" s="20" t="s">
        <v>56</v>
      </c>
      <c r="B2" s="20" t="s">
        <v>2</v>
      </c>
      <c r="C2" s="20" t="s">
        <v>30</v>
      </c>
      <c r="D2" s="20" t="s">
        <v>51</v>
      </c>
      <c r="E2" s="20" t="s">
        <v>52</v>
      </c>
      <c r="F2" s="20" t="s">
        <v>53</v>
      </c>
      <c r="J2" s="20" t="s">
        <v>30</v>
      </c>
      <c r="K2" s="20" t="s">
        <v>51</v>
      </c>
      <c r="N2" s="20" t="s">
        <v>56</v>
      </c>
      <c r="O2" s="20" t="s">
        <v>2</v>
      </c>
    </row>
    <row r="3" spans="1:15" x14ac:dyDescent="0.25">
      <c r="A3" s="24">
        <v>1545154</v>
      </c>
      <c r="B3" s="24" t="s">
        <v>116</v>
      </c>
      <c r="C3" s="24" t="s">
        <v>87</v>
      </c>
      <c r="D3" s="41" t="s">
        <v>111</v>
      </c>
      <c r="E3" s="18">
        <v>1.49</v>
      </c>
      <c r="F3" s="18">
        <v>2.4900000000000002</v>
      </c>
      <c r="J3" t="s">
        <v>87</v>
      </c>
      <c r="N3" s="41">
        <v>5007769</v>
      </c>
      <c r="O3" s="41" t="s">
        <v>133</v>
      </c>
    </row>
    <row r="4" spans="1:15" x14ac:dyDescent="0.25">
      <c r="A4" s="24">
        <v>5858103</v>
      </c>
      <c r="B4" s="24" t="s">
        <v>117</v>
      </c>
      <c r="C4" s="24" t="s">
        <v>87</v>
      </c>
      <c r="D4" s="41" t="s">
        <v>112</v>
      </c>
      <c r="E4" s="18">
        <v>1.53</v>
      </c>
      <c r="F4" s="18">
        <v>3.61</v>
      </c>
      <c r="J4" s="23"/>
      <c r="K4" s="23"/>
    </row>
    <row r="5" spans="1:15" x14ac:dyDescent="0.25">
      <c r="A5" s="24">
        <v>8285186</v>
      </c>
      <c r="B5" s="24" t="s">
        <v>118</v>
      </c>
      <c r="C5" s="24" t="s">
        <v>87</v>
      </c>
      <c r="D5" s="41" t="s">
        <v>113</v>
      </c>
      <c r="E5" s="18">
        <v>1.4</v>
      </c>
      <c r="F5" s="18">
        <v>3.86</v>
      </c>
    </row>
    <row r="6" spans="1:15" x14ac:dyDescent="0.25">
      <c r="A6" s="24">
        <v>8159837</v>
      </c>
      <c r="B6" s="24" t="s">
        <v>119</v>
      </c>
      <c r="C6" s="24" t="s">
        <v>87</v>
      </c>
      <c r="D6" s="41" t="s">
        <v>114</v>
      </c>
      <c r="E6" s="18">
        <v>1.56</v>
      </c>
      <c r="F6" s="18">
        <v>2.44</v>
      </c>
    </row>
    <row r="7" spans="1:15" x14ac:dyDescent="0.25">
      <c r="A7" s="24">
        <v>2553863</v>
      </c>
      <c r="B7" s="24" t="s">
        <v>120</v>
      </c>
      <c r="C7" s="24" t="s">
        <v>87</v>
      </c>
      <c r="D7" s="41" t="s">
        <v>115</v>
      </c>
      <c r="E7" s="18">
        <v>1.58</v>
      </c>
      <c r="F7" s="18">
        <v>3.5</v>
      </c>
    </row>
    <row r="8" spans="1:15" x14ac:dyDescent="0.25">
      <c r="A8" s="24">
        <v>3584192</v>
      </c>
      <c r="B8" s="24" t="s">
        <v>121</v>
      </c>
      <c r="C8" s="24" t="s">
        <v>88</v>
      </c>
      <c r="D8" s="41" t="s">
        <v>111</v>
      </c>
      <c r="E8" s="18">
        <v>1.3</v>
      </c>
      <c r="F8" s="18">
        <v>2.91</v>
      </c>
    </row>
    <row r="9" spans="1:15" x14ac:dyDescent="0.25">
      <c r="A9" s="24">
        <v>4477799</v>
      </c>
      <c r="B9" s="24" t="s">
        <v>122</v>
      </c>
      <c r="C9" s="24" t="s">
        <v>88</v>
      </c>
      <c r="D9" s="41" t="s">
        <v>112</v>
      </c>
      <c r="E9" s="18">
        <v>1.36</v>
      </c>
      <c r="F9" s="18">
        <v>2.02</v>
      </c>
    </row>
    <row r="10" spans="1:15" x14ac:dyDescent="0.25">
      <c r="A10" s="24">
        <v>5880658</v>
      </c>
      <c r="B10" s="24" t="s">
        <v>123</v>
      </c>
      <c r="C10" s="24" t="s">
        <v>88</v>
      </c>
      <c r="D10" s="41" t="s">
        <v>113</v>
      </c>
      <c r="E10" s="18">
        <v>1.34</v>
      </c>
      <c r="F10" s="18">
        <v>3.67</v>
      </c>
    </row>
    <row r="11" spans="1:15" x14ac:dyDescent="0.25">
      <c r="A11" s="24">
        <v>1967593</v>
      </c>
      <c r="B11" s="24" t="s">
        <v>124</v>
      </c>
      <c r="C11" s="24" t="s">
        <v>88</v>
      </c>
      <c r="D11" s="41" t="s">
        <v>114</v>
      </c>
      <c r="E11" s="18">
        <v>1.65</v>
      </c>
      <c r="F11" s="18">
        <v>3.85</v>
      </c>
    </row>
    <row r="12" spans="1:15" x14ac:dyDescent="0.25">
      <c r="A12" s="24">
        <v>9253664</v>
      </c>
      <c r="B12" s="24" t="s">
        <v>125</v>
      </c>
      <c r="C12" s="24" t="s">
        <v>88</v>
      </c>
      <c r="D12" s="41" t="s">
        <v>115</v>
      </c>
      <c r="E12" s="18">
        <v>1.78</v>
      </c>
      <c r="F12" s="18">
        <v>3.45</v>
      </c>
    </row>
    <row r="13" spans="1:15" x14ac:dyDescent="0.25">
      <c r="A13" s="24">
        <v>8702433</v>
      </c>
      <c r="B13" s="24" t="s">
        <v>126</v>
      </c>
      <c r="C13" s="24" t="s">
        <v>89</v>
      </c>
      <c r="D13" s="41" t="s">
        <v>111</v>
      </c>
      <c r="E13" s="18">
        <v>1.85</v>
      </c>
      <c r="F13" s="18">
        <v>3.56</v>
      </c>
    </row>
    <row r="14" spans="1:15" x14ac:dyDescent="0.25">
      <c r="A14" s="24">
        <v>1978722</v>
      </c>
      <c r="B14" s="24" t="s">
        <v>127</v>
      </c>
      <c r="C14" s="24" t="s">
        <v>89</v>
      </c>
      <c r="D14" s="41" t="s">
        <v>112</v>
      </c>
      <c r="E14" s="18">
        <v>1.33</v>
      </c>
      <c r="F14" s="18">
        <v>3.28</v>
      </c>
    </row>
    <row r="15" spans="1:15" x14ac:dyDescent="0.25">
      <c r="A15" s="24">
        <v>7028689</v>
      </c>
      <c r="B15" s="24" t="s">
        <v>128</v>
      </c>
      <c r="C15" s="24" t="s">
        <v>89</v>
      </c>
      <c r="D15" s="41" t="s">
        <v>113</v>
      </c>
      <c r="E15" s="18">
        <v>1.42</v>
      </c>
      <c r="F15" s="18">
        <v>3.82</v>
      </c>
    </row>
    <row r="16" spans="1:15" x14ac:dyDescent="0.25">
      <c r="A16" s="24">
        <v>1204308</v>
      </c>
      <c r="B16" s="24" t="s">
        <v>129</v>
      </c>
      <c r="C16" s="24" t="s">
        <v>89</v>
      </c>
      <c r="D16" s="41" t="s">
        <v>114</v>
      </c>
      <c r="E16" s="18">
        <v>1.73</v>
      </c>
      <c r="F16" s="18">
        <v>3.21</v>
      </c>
    </row>
    <row r="17" spans="1:6" x14ac:dyDescent="0.25">
      <c r="A17" s="24">
        <v>8505107</v>
      </c>
      <c r="B17" s="24" t="s">
        <v>130</v>
      </c>
      <c r="C17" s="24" t="s">
        <v>89</v>
      </c>
      <c r="D17" s="41" t="s">
        <v>115</v>
      </c>
      <c r="E17" s="18">
        <v>1.83</v>
      </c>
      <c r="F17" s="18">
        <v>2.02</v>
      </c>
    </row>
    <row r="18" spans="1:6" x14ac:dyDescent="0.25">
      <c r="A18" s="24">
        <v>2749116</v>
      </c>
      <c r="B18" s="24" t="s">
        <v>131</v>
      </c>
      <c r="C18" s="24" t="s">
        <v>54</v>
      </c>
      <c r="D18" s="41" t="s">
        <v>111</v>
      </c>
      <c r="E18" s="18">
        <v>1.33</v>
      </c>
      <c r="F18" s="18">
        <v>3.45</v>
      </c>
    </row>
    <row r="19" spans="1:6" x14ac:dyDescent="0.25">
      <c r="A19" s="24">
        <v>9657162</v>
      </c>
      <c r="B19" s="24" t="s">
        <v>144</v>
      </c>
      <c r="C19" s="24" t="s">
        <v>54</v>
      </c>
      <c r="D19" s="41" t="s">
        <v>112</v>
      </c>
      <c r="E19" s="18">
        <v>1.3</v>
      </c>
      <c r="F19" s="18">
        <v>2.81</v>
      </c>
    </row>
    <row r="20" spans="1:6" x14ac:dyDescent="0.25">
      <c r="A20" s="24">
        <v>8515368</v>
      </c>
      <c r="B20" s="24" t="s">
        <v>143</v>
      </c>
      <c r="C20" s="24" t="s">
        <v>54</v>
      </c>
      <c r="D20" s="41" t="s">
        <v>113</v>
      </c>
      <c r="E20" s="18">
        <v>1.72</v>
      </c>
      <c r="F20" s="18">
        <v>3.84</v>
      </c>
    </row>
    <row r="21" spans="1:6" x14ac:dyDescent="0.25">
      <c r="A21" s="24">
        <v>4577331</v>
      </c>
      <c r="B21" s="24" t="s">
        <v>142</v>
      </c>
      <c r="C21" s="24" t="s">
        <v>54</v>
      </c>
      <c r="D21" s="41" t="s">
        <v>114</v>
      </c>
      <c r="E21" s="18">
        <v>1.1000000000000001</v>
      </c>
      <c r="F21" s="18">
        <v>3.46</v>
      </c>
    </row>
    <row r="22" spans="1:6" x14ac:dyDescent="0.25">
      <c r="A22" s="24">
        <v>1570467</v>
      </c>
      <c r="B22" s="24" t="s">
        <v>141</v>
      </c>
      <c r="C22" s="24" t="s">
        <v>88</v>
      </c>
      <c r="D22" s="41" t="s">
        <v>115</v>
      </c>
      <c r="E22" s="18">
        <v>1.6</v>
      </c>
      <c r="F22" s="18">
        <v>2.12</v>
      </c>
    </row>
    <row r="23" spans="1:6" x14ac:dyDescent="0.25">
      <c r="A23" s="24">
        <v>1234465</v>
      </c>
      <c r="B23" s="24" t="s">
        <v>140</v>
      </c>
      <c r="C23" s="24" t="s">
        <v>90</v>
      </c>
      <c r="D23" s="41" t="s">
        <v>111</v>
      </c>
      <c r="E23" s="18">
        <v>1.7</v>
      </c>
      <c r="F23" s="18">
        <v>2.81</v>
      </c>
    </row>
    <row r="24" spans="1:6" x14ac:dyDescent="0.25">
      <c r="A24" s="24">
        <v>9388963</v>
      </c>
      <c r="B24" s="24" t="s">
        <v>139</v>
      </c>
      <c r="C24" s="24" t="s">
        <v>90</v>
      </c>
      <c r="D24" s="41" t="s">
        <v>112</v>
      </c>
      <c r="E24" s="18">
        <v>1.41</v>
      </c>
      <c r="F24" s="18">
        <v>3.56</v>
      </c>
    </row>
    <row r="25" spans="1:6" x14ac:dyDescent="0.25">
      <c r="A25" s="24">
        <v>8813930</v>
      </c>
      <c r="B25" s="24" t="s">
        <v>138</v>
      </c>
      <c r="C25" s="24" t="s">
        <v>90</v>
      </c>
      <c r="D25" s="41" t="s">
        <v>114</v>
      </c>
      <c r="E25" s="18">
        <v>1.53</v>
      </c>
      <c r="F25" s="18">
        <v>2.2799999999999998</v>
      </c>
    </row>
    <row r="26" spans="1:6" x14ac:dyDescent="0.25">
      <c r="A26" s="24">
        <v>5729333</v>
      </c>
      <c r="B26" s="24" t="s">
        <v>137</v>
      </c>
      <c r="C26" s="24" t="s">
        <v>90</v>
      </c>
      <c r="D26" s="41" t="s">
        <v>115</v>
      </c>
      <c r="E26" s="18">
        <v>1.47</v>
      </c>
      <c r="F26" s="18">
        <v>2.2999999999999998</v>
      </c>
    </row>
    <row r="27" spans="1:6" x14ac:dyDescent="0.25">
      <c r="A27" s="24">
        <v>4150902</v>
      </c>
      <c r="B27" s="24" t="s">
        <v>132</v>
      </c>
      <c r="C27" s="24" t="s">
        <v>91</v>
      </c>
      <c r="D27" s="41" t="s">
        <v>111</v>
      </c>
      <c r="E27" s="18">
        <v>2</v>
      </c>
      <c r="F27" s="18">
        <v>3.06</v>
      </c>
    </row>
    <row r="28" spans="1:6" x14ac:dyDescent="0.25">
      <c r="A28" s="24">
        <v>5007769</v>
      </c>
      <c r="B28" s="24" t="s">
        <v>133</v>
      </c>
      <c r="C28" s="24" t="s">
        <v>91</v>
      </c>
      <c r="D28" s="41" t="s">
        <v>112</v>
      </c>
      <c r="E28" s="18">
        <v>1.1399999999999999</v>
      </c>
      <c r="F28" s="18">
        <v>3.69</v>
      </c>
    </row>
    <row r="29" spans="1:6" x14ac:dyDescent="0.25">
      <c r="A29" s="24">
        <v>5275324</v>
      </c>
      <c r="B29" s="24" t="s">
        <v>136</v>
      </c>
      <c r="C29" s="24" t="s">
        <v>91</v>
      </c>
      <c r="D29" s="41" t="s">
        <v>113</v>
      </c>
      <c r="E29" s="18">
        <v>1.37</v>
      </c>
      <c r="F29" s="18">
        <v>2.8</v>
      </c>
    </row>
    <row r="30" spans="1:6" x14ac:dyDescent="0.25">
      <c r="A30" s="24">
        <v>5851129</v>
      </c>
      <c r="B30" s="24" t="s">
        <v>134</v>
      </c>
      <c r="C30" s="24" t="s">
        <v>91</v>
      </c>
      <c r="D30" s="41" t="s">
        <v>114</v>
      </c>
      <c r="E30" s="18">
        <v>1.6</v>
      </c>
      <c r="F30" s="18">
        <v>3.16</v>
      </c>
    </row>
    <row r="31" spans="1:6" x14ac:dyDescent="0.25">
      <c r="A31" s="24">
        <v>3204266</v>
      </c>
      <c r="B31" s="24" t="s">
        <v>135</v>
      </c>
      <c r="C31" s="24" t="s">
        <v>91</v>
      </c>
      <c r="D31" s="41" t="s">
        <v>115</v>
      </c>
      <c r="E31" s="18">
        <v>1.72</v>
      </c>
      <c r="F31" s="18">
        <v>2.81</v>
      </c>
    </row>
  </sheetData>
  <mergeCells count="3">
    <mergeCell ref="A1:F1"/>
    <mergeCell ref="J1:K1"/>
    <mergeCell ref="N1:O1"/>
  </mergeCells>
  <dataValidations count="7">
    <dataValidation type="list" allowBlank="1" showInputMessage="1" showErrorMessage="1" sqref="D3:D7" xr:uid="{00000000-0002-0000-0600-000000000000}">
      <formula1>Subcategory1</formula1>
    </dataValidation>
    <dataValidation type="list" allowBlank="1" showInputMessage="1" showErrorMessage="1" sqref="D27:D31" xr:uid="{00000000-0002-0000-0600-000001000000}">
      <formula1>Subcategory6</formula1>
    </dataValidation>
    <dataValidation type="list" allowBlank="1" showInputMessage="1" showErrorMessage="1" sqref="D8:D12 D22" xr:uid="{380B8B14-9A09-44E0-A515-264933C3B3BC}">
      <formula1>Subcategory2</formula1>
    </dataValidation>
    <dataValidation type="list" allowBlank="1" showInputMessage="1" showErrorMessage="1" sqref="D13:D17" xr:uid="{52EBB149-CEF2-42E4-A101-949CA0447ECC}">
      <formula1>Subcategory3</formula1>
    </dataValidation>
    <dataValidation type="list" allowBlank="1" showInputMessage="1" showErrorMessage="1" sqref="D18:D21" xr:uid="{EB2A248D-D2AB-495A-86D4-97FF8FEC95D1}">
      <formula1>Subcategory4</formula1>
    </dataValidation>
    <dataValidation type="list" allowBlank="1" showInputMessage="1" showErrorMessage="1" sqref="D23:D26" xr:uid="{CAEBA703-CB73-4AE5-AD7B-962EC4D77B30}">
      <formula1>Subcategory5</formula1>
    </dataValidation>
    <dataValidation type="list" allowBlank="1" showInputMessage="1" showErrorMessage="1" sqref="C3:C49146" xr:uid="{00000000-0002-0000-0600-000002000000}">
      <formula1>Categories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Users"/>
  <dimension ref="A1:C52"/>
  <sheetViews>
    <sheetView workbookViewId="0">
      <selection activeCell="B5" sqref="B5"/>
    </sheetView>
  </sheetViews>
  <sheetFormatPr defaultRowHeight="15" x14ac:dyDescent="0.25"/>
  <cols>
    <col min="2" max="2" width="12.85546875" bestFit="1" customWidth="1"/>
  </cols>
  <sheetData>
    <row r="1" spans="1:3" x14ac:dyDescent="0.25">
      <c r="A1" s="123" t="s">
        <v>68</v>
      </c>
      <c r="B1" s="123"/>
      <c r="C1" s="123"/>
    </row>
    <row r="2" spans="1:3" x14ac:dyDescent="0.25">
      <c r="A2" s="21" t="s">
        <v>12</v>
      </c>
      <c r="B2" s="21" t="s">
        <v>67</v>
      </c>
      <c r="C2" s="21" t="s">
        <v>69</v>
      </c>
    </row>
    <row r="3" spans="1:3" x14ac:dyDescent="0.25">
      <c r="A3" s="6">
        <v>1</v>
      </c>
      <c r="B3" t="s">
        <v>93</v>
      </c>
      <c r="C3" t="s">
        <v>62</v>
      </c>
    </row>
    <row r="4" spans="1:3" x14ac:dyDescent="0.25">
      <c r="A4" s="6">
        <v>2</v>
      </c>
      <c r="B4" t="s">
        <v>94</v>
      </c>
      <c r="C4" t="s">
        <v>63</v>
      </c>
    </row>
    <row r="5" spans="1:3" x14ac:dyDescent="0.25">
      <c r="A5" s="6">
        <v>3</v>
      </c>
      <c r="B5" t="s">
        <v>95</v>
      </c>
      <c r="C5" t="s">
        <v>64</v>
      </c>
    </row>
    <row r="6" spans="1:3" x14ac:dyDescent="0.25">
      <c r="A6" s="6"/>
    </row>
    <row r="7" spans="1:3" x14ac:dyDescent="0.25">
      <c r="A7" s="6"/>
    </row>
    <row r="8" spans="1:3" x14ac:dyDescent="0.25">
      <c r="A8" s="6"/>
    </row>
    <row r="9" spans="1:3" x14ac:dyDescent="0.25">
      <c r="A9" s="6"/>
    </row>
    <row r="10" spans="1:3" x14ac:dyDescent="0.25">
      <c r="A10" s="6"/>
    </row>
    <row r="11" spans="1:3" x14ac:dyDescent="0.25">
      <c r="A11" s="6"/>
    </row>
    <row r="12" spans="1:3" x14ac:dyDescent="0.25">
      <c r="A12" s="6"/>
    </row>
    <row r="13" spans="1:3" x14ac:dyDescent="0.25">
      <c r="A13" s="6"/>
    </row>
    <row r="14" spans="1:3" x14ac:dyDescent="0.25">
      <c r="A14" s="6"/>
    </row>
    <row r="15" spans="1:3" x14ac:dyDescent="0.25">
      <c r="A15" s="6"/>
    </row>
    <row r="16" spans="1:3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Admin</vt:lpstr>
      <vt:lpstr>POS</vt:lpstr>
      <vt:lpstr>Orders</vt:lpstr>
      <vt:lpstr>OrderItems</vt:lpstr>
      <vt:lpstr>Customers</vt:lpstr>
      <vt:lpstr>Vendors</vt:lpstr>
      <vt:lpstr>Products</vt:lpstr>
      <vt:lpstr>Users</vt:lpstr>
      <vt:lpstr>Categories</vt:lpstr>
      <vt:lpstr>OrderItems!Criteria</vt:lpstr>
      <vt:lpstr>Orders!Criteria</vt:lpstr>
      <vt:lpstr>Products!Criteria</vt:lpstr>
      <vt:lpstr>Customers!Extract</vt:lpstr>
      <vt:lpstr>OrderItems!Extract</vt:lpstr>
      <vt:lpstr>Orders!Extract</vt:lpstr>
      <vt:lpstr>Products!Extract</vt:lpstr>
      <vt:lpstr>Vendors!Extract</vt:lpstr>
      <vt:lpstr>FooterMsg</vt:lpstr>
      <vt:lpstr>POS!Print_Area</vt:lpstr>
      <vt:lpstr>Subcategory1</vt:lpstr>
      <vt:lpstr>Subcategory2</vt:lpstr>
      <vt:lpstr>Subcategory3</vt:lpstr>
      <vt:lpstr>Subcategory4</vt:lpstr>
      <vt:lpstr>Subcategory5</vt:lpstr>
      <vt:lpstr>Subcategory6</vt:lpstr>
      <vt:lpstr>TaxName</vt:lpstr>
      <vt:lpstr>TaxRate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user</cp:lastModifiedBy>
  <cp:lastPrinted>2021-07-10T23:24:00Z</cp:lastPrinted>
  <dcterms:created xsi:type="dcterms:W3CDTF">2021-07-04T05:03:30Z</dcterms:created>
  <dcterms:modified xsi:type="dcterms:W3CDTF">2022-05-04T21:34:58Z</dcterms:modified>
</cp:coreProperties>
</file>